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50B37B04-68CC-46A0-BD25-6E9D0BE58643}" xr6:coauthVersionLast="47" xr6:coauthVersionMax="47" xr10:uidLastSave="{00000000-0000-0000-0000-000000000000}"/>
  <bookViews>
    <workbookView xWindow="75" yWindow="630" windowWidth="28725" windowHeight="14520" tabRatio="747" activeTab="3" xr2:uid="{00000000-000D-0000-FFFF-FFFF00000000}"/>
  </bookViews>
  <sheets>
    <sheet name="SWAP Data Volumns" sheetId="6" r:id="rId1"/>
    <sheet name="2025_pb" sheetId="2" r:id="rId2"/>
    <sheet name="2025_pb_2" sheetId="21" r:id="rId3"/>
    <sheet name="btc_mods" sheetId="16" r:id="rId4"/>
    <sheet name="pep_ssf" sheetId="19" r:id="rId5"/>
    <sheet name="sclk_data" sheetId="17" r:id="rId6"/>
    <sheet name="_tl_template" sheetId="20" r:id="rId7"/>
    <sheet name="dev" sheetId="22" r:id="rId8"/>
  </sheets>
  <functionGroups builtInGroupCount="19"/>
  <externalReferences>
    <externalReference r:id="rId9"/>
  </externalReferences>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4" hidden="1">pep_ssf!$A$13:$D$183</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4" i="19" l="1"/>
  <c r="Q15" i="19"/>
  <c r="Q16" i="19"/>
  <c r="Q17" i="19"/>
  <c r="Q18" i="19" s="1"/>
  <c r="Q19" i="19" s="1"/>
  <c r="Q20" i="19" s="1"/>
  <c r="Q21" i="19" s="1"/>
  <c r="Q22" i="19" s="1"/>
  <c r="Q23" i="19" s="1"/>
  <c r="Q24" i="19" s="1"/>
  <c r="Q25" i="19" s="1"/>
  <c r="Q26" i="19" s="1"/>
  <c r="Q27" i="19" s="1"/>
  <c r="Q28" i="19" s="1"/>
  <c r="Q29" i="19"/>
  <c r="Q30" i="19"/>
  <c r="Q31" i="19"/>
  <c r="Q32" i="19"/>
  <c r="Q33" i="19"/>
  <c r="Q34" i="19"/>
  <c r="Q35" i="19"/>
  <c r="Q36" i="19"/>
  <c r="Q37" i="19"/>
  <c r="Q38" i="19" s="1"/>
  <c r="Q39" i="19" s="1"/>
  <c r="Q40" i="19" s="1"/>
  <c r="Q41" i="19" s="1"/>
  <c r="Q42" i="19" s="1"/>
  <c r="Q43" i="19" s="1"/>
  <c r="Q44" i="19" s="1"/>
  <c r="Q45" i="19" s="1"/>
  <c r="Q46" i="19"/>
  <c r="Q47" i="19"/>
  <c r="Q48" i="19"/>
  <c r="Q49" i="19"/>
  <c r="Q50" i="19"/>
  <c r="Q51" i="19"/>
  <c r="Q52" i="19"/>
  <c r="Q53" i="19"/>
  <c r="Q54" i="19" s="1"/>
  <c r="Q55" i="19" s="1"/>
  <c r="Q56" i="19" s="1"/>
  <c r="Q57" i="19" s="1"/>
  <c r="Q58" i="19" s="1"/>
  <c r="Q59" i="19" s="1"/>
  <c r="Q60" i="19" s="1"/>
  <c r="Q61" i="19" s="1"/>
  <c r="Q62" i="19" s="1"/>
  <c r="Q63" i="19"/>
  <c r="Q64" i="19"/>
  <c r="Q65" i="19"/>
  <c r="Q66" i="19"/>
  <c r="Q67" i="19"/>
  <c r="Q68" i="19"/>
  <c r="Q69" i="19"/>
  <c r="Q70" i="19" s="1"/>
  <c r="Q71" i="19" s="1"/>
  <c r="Q72" i="19" s="1"/>
  <c r="Q73" i="19" s="1"/>
  <c r="Q74" i="19" s="1"/>
  <c r="Q75" i="19" s="1"/>
  <c r="Q76" i="19" s="1"/>
  <c r="Q77" i="19" s="1"/>
  <c r="Q78" i="19" s="1"/>
  <c r="Q79" i="19" s="1"/>
  <c r="Q80" i="19"/>
  <c r="Q81" i="19"/>
  <c r="Q82" i="19"/>
  <c r="Q83" i="19"/>
  <c r="Q84" i="19"/>
  <c r="Q85" i="19"/>
  <c r="Q86" i="19"/>
  <c r="Q87" i="19"/>
  <c r="Q88" i="19"/>
  <c r="Q89" i="19"/>
  <c r="Q90" i="19" s="1"/>
  <c r="Q91" i="19" s="1"/>
  <c r="Q92" i="19" s="1"/>
  <c r="Q93" i="19" s="1"/>
  <c r="Q94" i="19" s="1"/>
  <c r="Q95" i="19" s="1"/>
  <c r="Q96" i="19" s="1"/>
  <c r="Q97" i="19"/>
  <c r="Q98" i="19"/>
  <c r="Q99" i="19"/>
  <c r="Q100" i="19"/>
  <c r="Q101" i="19"/>
  <c r="Q102" i="19"/>
  <c r="Q103" i="19"/>
  <c r="Q104" i="19"/>
  <c r="Q105" i="19"/>
  <c r="Q106" i="19" s="1"/>
  <c r="Q107" i="19" s="1"/>
  <c r="Q108" i="19" s="1"/>
  <c r="Q109" i="19" s="1"/>
  <c r="Q110" i="19" s="1"/>
  <c r="Q111" i="19" s="1"/>
  <c r="Q112" i="19" s="1"/>
  <c r="Q113" i="19" s="1"/>
  <c r="Q114" i="19"/>
  <c r="Q115" i="19"/>
  <c r="Q116" i="19"/>
  <c r="Q117" i="19"/>
  <c r="Q118" i="19"/>
  <c r="Q119" i="19"/>
  <c r="Q120" i="19"/>
  <c r="Q121" i="19"/>
  <c r="Q122" i="19" s="1"/>
  <c r="Q123" i="19" s="1"/>
  <c r="Q124" i="19" s="1"/>
  <c r="Q125" i="19" s="1"/>
  <c r="Q126" i="19" s="1"/>
  <c r="Q127" i="19" s="1"/>
  <c r="Q128" i="19" s="1"/>
  <c r="Q129" i="19" s="1"/>
  <c r="Q130" i="19" s="1"/>
  <c r="Q131" i="19" s="1"/>
  <c r="Q132" i="19"/>
  <c r="Q133" i="19"/>
  <c r="Q134" i="19"/>
  <c r="Q135" i="19"/>
  <c r="Q136" i="19"/>
  <c r="Q137" i="19"/>
  <c r="Q138" i="19" s="1"/>
  <c r="Q139" i="19"/>
  <c r="Q140" i="19"/>
  <c r="Q141" i="19"/>
  <c r="Q142" i="19"/>
  <c r="Q143" i="19"/>
  <c r="Q144" i="19"/>
  <c r="Q145" i="19"/>
  <c r="Q146" i="19" s="1"/>
  <c r="Q147" i="19" s="1"/>
  <c r="Q148" i="19" s="1"/>
  <c r="Q149" i="19" s="1"/>
  <c r="Q150" i="19" s="1"/>
  <c r="Q151" i="19" s="1"/>
  <c r="Q152" i="19" s="1"/>
  <c r="Q153" i="19" s="1"/>
  <c r="Q154" i="19" s="1"/>
  <c r="Q155" i="19" s="1"/>
  <c r="Q156" i="19" s="1"/>
  <c r="Q157" i="19"/>
  <c r="Q158" i="19"/>
  <c r="Q159" i="19"/>
  <c r="Q160" i="19"/>
  <c r="Q161" i="19"/>
  <c r="Q162" i="19"/>
  <c r="Q163" i="19"/>
  <c r="Q164" i="19"/>
  <c r="Q165" i="19"/>
  <c r="Q166" i="19" s="1"/>
  <c r="Q167" i="19" s="1"/>
  <c r="Q168" i="19" s="1"/>
  <c r="Q169" i="19" s="1"/>
  <c r="Q170" i="19" s="1"/>
  <c r="Q171" i="19" s="1"/>
  <c r="Q172" i="19" s="1"/>
  <c r="Q173" i="19" s="1"/>
  <c r="Q174" i="19" s="1"/>
  <c r="Q175" i="19"/>
  <c r="Q176" i="19"/>
  <c r="Q177" i="19"/>
  <c r="Q178" i="19"/>
  <c r="Q179" i="19"/>
  <c r="Q180" i="19"/>
  <c r="Q181" i="19"/>
  <c r="Q182" i="19"/>
  <c r="Q183" i="19"/>
  <c r="R14" i="19"/>
  <c r="R15" i="19"/>
  <c r="R16" i="19"/>
  <c r="R17" i="19"/>
  <c r="R18" i="19" s="1"/>
  <c r="R29" i="19"/>
  <c r="R30" i="19" s="1"/>
  <c r="R32" i="19"/>
  <c r="R33" i="19"/>
  <c r="R34" i="19" s="1"/>
  <c r="R46" i="19"/>
  <c r="R47" i="19"/>
  <c r="R48" i="19"/>
  <c r="R49" i="19"/>
  <c r="R50" i="19" s="1"/>
  <c r="R63" i="19"/>
  <c r="R64" i="19"/>
  <c r="R65" i="19"/>
  <c r="R66" i="19"/>
  <c r="R67" i="19"/>
  <c r="R68" i="19"/>
  <c r="R69" i="19"/>
  <c r="R70" i="19" s="1"/>
  <c r="R80" i="19"/>
  <c r="R81" i="19"/>
  <c r="R82" i="19" s="1"/>
  <c r="U82" i="19" s="1"/>
  <c r="R83" i="19"/>
  <c r="R84" i="19"/>
  <c r="R85" i="19"/>
  <c r="R86" i="19" s="1"/>
  <c r="R97" i="19"/>
  <c r="R98" i="19" s="1"/>
  <c r="R100" i="19"/>
  <c r="R101" i="19"/>
  <c r="R102" i="19" s="1"/>
  <c r="R114" i="19"/>
  <c r="R115" i="19"/>
  <c r="R116" i="19"/>
  <c r="R117" i="19"/>
  <c r="R118" i="19" s="1"/>
  <c r="R133" i="19"/>
  <c r="R134" i="19"/>
  <c r="R135" i="19"/>
  <c r="R136" i="19" s="1"/>
  <c r="R140" i="19"/>
  <c r="R141" i="19"/>
  <c r="R142" i="19"/>
  <c r="R143" i="19"/>
  <c r="R144" i="19" s="1"/>
  <c r="R158" i="19"/>
  <c r="R159" i="19"/>
  <c r="R160" i="19"/>
  <c r="R161" i="19"/>
  <c r="R162" i="19" s="1"/>
  <c r="R176" i="19"/>
  <c r="R177" i="19"/>
  <c r="R178" i="19" s="1"/>
  <c r="R183" i="19"/>
  <c r="S15" i="19"/>
  <c r="U14" i="19"/>
  <c r="U15" i="19"/>
  <c r="U16" i="19"/>
  <c r="U17" i="19"/>
  <c r="U29" i="19"/>
  <c r="U32" i="19"/>
  <c r="U33" i="19"/>
  <c r="U46" i="19"/>
  <c r="U47" i="19"/>
  <c r="U48" i="19"/>
  <c r="U49" i="19"/>
  <c r="U63" i="19"/>
  <c r="U64" i="19"/>
  <c r="U65" i="19"/>
  <c r="U66" i="19"/>
  <c r="U67" i="19"/>
  <c r="U68" i="19"/>
  <c r="U69" i="19"/>
  <c r="U80" i="19"/>
  <c r="U81" i="19"/>
  <c r="U83" i="19"/>
  <c r="U84" i="19"/>
  <c r="U85" i="19"/>
  <c r="U97" i="19"/>
  <c r="U100" i="19"/>
  <c r="U101" i="19"/>
  <c r="U114" i="19"/>
  <c r="U115" i="19"/>
  <c r="U116" i="19"/>
  <c r="U117" i="19"/>
  <c r="U133" i="19"/>
  <c r="U134" i="19"/>
  <c r="U135" i="19"/>
  <c r="U140" i="19"/>
  <c r="U141" i="19"/>
  <c r="U142" i="19"/>
  <c r="U143" i="19"/>
  <c r="U158" i="19"/>
  <c r="U159" i="19"/>
  <c r="U160" i="19"/>
  <c r="U161" i="19"/>
  <c r="U176" i="19"/>
  <c r="U177" i="19"/>
  <c r="U183" i="19"/>
  <c r="V134" i="19"/>
  <c r="W17" i="22"/>
  <c r="O18" i="22" a="1"/>
  <c r="O17" i="22" a="1"/>
  <c r="L17" i="22" a="1"/>
  <c r="M18" i="22" a="1"/>
  <c r="L18" i="22" a="1"/>
  <c r="M17" i="22" a="1"/>
  <c r="U178" i="19" l="1"/>
  <c r="R179" i="19"/>
  <c r="U86" i="19"/>
  <c r="R87" i="19"/>
  <c r="U50" i="19"/>
  <c r="R51" i="19"/>
  <c r="U34" i="19"/>
  <c r="R35" i="19"/>
  <c r="U98" i="19"/>
  <c r="R99" i="19"/>
  <c r="U99" i="19" s="1"/>
  <c r="U18" i="19"/>
  <c r="R19" i="19"/>
  <c r="U118" i="19"/>
  <c r="R119" i="19"/>
  <c r="U102" i="19"/>
  <c r="R103" i="19"/>
  <c r="U70" i="19"/>
  <c r="R71" i="19"/>
  <c r="U162" i="19"/>
  <c r="R163" i="19"/>
  <c r="R145" i="19"/>
  <c r="U144" i="19"/>
  <c r="R137" i="19"/>
  <c r="U136" i="19"/>
  <c r="U30" i="19"/>
  <c r="R31" i="19"/>
  <c r="U31" i="19" s="1"/>
  <c r="O18" i="22"/>
  <c r="O17" i="22"/>
  <c r="M17" i="22"/>
  <c r="L18" i="22"/>
  <c r="M18" i="22"/>
  <c r="L17" i="22"/>
  <c r="P17" i="22"/>
  <c r="V2" i="22"/>
  <c r="V3" i="22" s="1"/>
  <c r="T2" i="22"/>
  <c r="T3" i="22" s="1"/>
  <c r="R146" i="19" l="1"/>
  <c r="U145" i="19"/>
  <c r="U163" i="19"/>
  <c r="R164" i="19"/>
  <c r="U103" i="19"/>
  <c r="R104" i="19"/>
  <c r="U19" i="19"/>
  <c r="R20" i="19"/>
  <c r="U35" i="19"/>
  <c r="R36" i="19"/>
  <c r="U87" i="19"/>
  <c r="R88" i="19"/>
  <c r="R138" i="19"/>
  <c r="U137" i="19"/>
  <c r="U71" i="19"/>
  <c r="R72" i="19"/>
  <c r="U119" i="19"/>
  <c r="R120" i="19"/>
  <c r="U51" i="19"/>
  <c r="R52" i="19"/>
  <c r="U179" i="19"/>
  <c r="R180" i="19"/>
  <c r="AF17" i="22"/>
  <c r="T17" i="22" s="1" a="1"/>
  <c r="T17" i="22" s="1"/>
  <c r="V17" i="22" s="1"/>
  <c r="AF18" i="22"/>
  <c r="AN18" i="22"/>
  <c r="AA18" i="22" s="1"/>
  <c r="P18" i="22"/>
  <c r="AN17" i="22"/>
  <c r="AA17" i="22" s="1"/>
  <c r="AO288" i="21"/>
  <c r="AN288" i="21"/>
  <c r="AP288" i="21"/>
  <c r="W14" i="22"/>
  <c r="U14" i="22"/>
  <c r="Q14" i="22"/>
  <c r="P14" i="22"/>
  <c r="R14" i="22" a="1"/>
  <c r="N14" i="22" a="1"/>
  <c r="R73" i="19" l="1"/>
  <c r="U72" i="19"/>
  <c r="U20" i="19"/>
  <c r="R21" i="19"/>
  <c r="U180" i="19"/>
  <c r="R181" i="19"/>
  <c r="U120" i="19"/>
  <c r="R121" i="19"/>
  <c r="R37" i="19"/>
  <c r="U36" i="19"/>
  <c r="U104" i="19"/>
  <c r="R105" i="19"/>
  <c r="U52" i="19"/>
  <c r="R53" i="19"/>
  <c r="U88" i="19"/>
  <c r="R89" i="19"/>
  <c r="R165" i="19"/>
  <c r="U164" i="19"/>
  <c r="U138" i="19"/>
  <c r="R139" i="19"/>
  <c r="U139" i="19" s="1"/>
  <c r="U146" i="19"/>
  <c r="R147" i="19"/>
  <c r="W18" i="22"/>
  <c r="R14" i="22"/>
  <c r="N14" i="22"/>
  <c r="K14" i="22"/>
  <c r="J14" i="22"/>
  <c r="I14" i="22"/>
  <c r="H14" i="22"/>
  <c r="G14" i="22"/>
  <c r="F14" i="22"/>
  <c r="E14" i="22"/>
  <c r="D14" i="22"/>
  <c r="C14" i="22"/>
  <c r="W13" i="22"/>
  <c r="U13" i="22"/>
  <c r="R122" i="19" l="1"/>
  <c r="U121" i="19"/>
  <c r="R90" i="19"/>
  <c r="U89" i="19"/>
  <c r="R22" i="19"/>
  <c r="U21" i="19"/>
  <c r="R54" i="19"/>
  <c r="U53" i="19"/>
  <c r="R182" i="19"/>
  <c r="U182" i="19" s="1"/>
  <c r="U181" i="19"/>
  <c r="R106" i="19"/>
  <c r="U105" i="19"/>
  <c r="U147" i="19"/>
  <c r="R148" i="19"/>
  <c r="R166" i="19"/>
  <c r="U165" i="19"/>
  <c r="R38" i="19"/>
  <c r="U37" i="19"/>
  <c r="R74" i="19"/>
  <c r="U73" i="19"/>
  <c r="S17" i="22"/>
  <c r="S14" i="22"/>
  <c r="O14" i="22"/>
  <c r="R13" i="22"/>
  <c r="S13" i="22" s="1"/>
  <c r="Q13" i="22"/>
  <c r="P13" i="22"/>
  <c r="T14" i="22" a="1"/>
  <c r="T13" i="22" a="1"/>
  <c r="N13" i="22" a="1"/>
  <c r="U106" i="19" l="1"/>
  <c r="R107" i="19"/>
  <c r="U54" i="19"/>
  <c r="R55" i="19"/>
  <c r="U90" i="19"/>
  <c r="R91" i="19"/>
  <c r="U74" i="19"/>
  <c r="R75" i="19"/>
  <c r="U166" i="19"/>
  <c r="R167" i="19"/>
  <c r="U148" i="19"/>
  <c r="R149" i="19"/>
  <c r="U38" i="19"/>
  <c r="R39" i="19"/>
  <c r="U22" i="19"/>
  <c r="R23" i="19"/>
  <c r="U122" i="19"/>
  <c r="R123" i="19"/>
  <c r="S18" i="22"/>
  <c r="X17" i="22"/>
  <c r="T13" i="22"/>
  <c r="T14" i="22"/>
  <c r="V14" i="22" s="1"/>
  <c r="X14" i="22" s="1"/>
  <c r="N13" i="22"/>
  <c r="K13" i="22"/>
  <c r="J13" i="22"/>
  <c r="I13" i="22"/>
  <c r="H13" i="22"/>
  <c r="G13" i="22"/>
  <c r="F13" i="22"/>
  <c r="E13" i="22"/>
  <c r="D13" i="22"/>
  <c r="C13" i="22"/>
  <c r="W12" i="22"/>
  <c r="U12" i="22"/>
  <c r="U23" i="19" l="1"/>
  <c r="R24" i="19"/>
  <c r="R150" i="19"/>
  <c r="U149" i="19"/>
  <c r="U75" i="19"/>
  <c r="R76" i="19"/>
  <c r="U55" i="19"/>
  <c r="R56" i="19"/>
  <c r="U39" i="19"/>
  <c r="R40" i="19"/>
  <c r="U167" i="19"/>
  <c r="R168" i="19"/>
  <c r="U107" i="19"/>
  <c r="R108" i="19"/>
  <c r="U123" i="19"/>
  <c r="R124" i="19"/>
  <c r="U91" i="19"/>
  <c r="R92" i="19"/>
  <c r="V13" i="22"/>
  <c r="X13" i="22" s="1"/>
  <c r="O13" i="22"/>
  <c r="Q12" i="22"/>
  <c r="P12" i="22"/>
  <c r="R12" i="22" a="1"/>
  <c r="N12" i="22" a="1"/>
  <c r="U168" i="19" l="1"/>
  <c r="R169" i="19"/>
  <c r="R57" i="19"/>
  <c r="U56" i="19"/>
  <c r="U150" i="19"/>
  <c r="R151" i="19"/>
  <c r="R125" i="19"/>
  <c r="U124" i="19"/>
  <c r="U108" i="19"/>
  <c r="R109" i="19"/>
  <c r="U40" i="19"/>
  <c r="R41" i="19"/>
  <c r="R25" i="19"/>
  <c r="U24" i="19"/>
  <c r="R93" i="19"/>
  <c r="U92" i="19"/>
  <c r="U76" i="19"/>
  <c r="R77" i="19"/>
  <c r="R12" i="22"/>
  <c r="N12" i="22"/>
  <c r="K12" i="22"/>
  <c r="J12" i="22"/>
  <c r="I12" i="22"/>
  <c r="H12" i="22"/>
  <c r="G12" i="22"/>
  <c r="F12" i="22"/>
  <c r="E12" i="22"/>
  <c r="D12" i="22"/>
  <c r="C12" i="22"/>
  <c r="W7" i="22"/>
  <c r="W11" i="22"/>
  <c r="U11" i="22"/>
  <c r="R42" i="19" l="1"/>
  <c r="U41" i="19"/>
  <c r="R94" i="19"/>
  <c r="U93" i="19"/>
  <c r="R126" i="19"/>
  <c r="U125" i="19"/>
  <c r="R58" i="19"/>
  <c r="U57" i="19"/>
  <c r="U151" i="19"/>
  <c r="R152" i="19"/>
  <c r="R78" i="19"/>
  <c r="U77" i="19"/>
  <c r="R110" i="19"/>
  <c r="U109" i="19"/>
  <c r="R170" i="19"/>
  <c r="U169" i="19"/>
  <c r="R26" i="19"/>
  <c r="U25" i="19"/>
  <c r="S12" i="22"/>
  <c r="O12" i="22"/>
  <c r="T12" i="22" a="1"/>
  <c r="U170" i="19" l="1"/>
  <c r="R171" i="19"/>
  <c r="U78" i="19"/>
  <c r="R79" i="19"/>
  <c r="U79" i="19" s="1"/>
  <c r="U58" i="19"/>
  <c r="R59" i="19"/>
  <c r="U94" i="19"/>
  <c r="R95" i="19"/>
  <c r="R153" i="19"/>
  <c r="U152" i="19"/>
  <c r="U26" i="19"/>
  <c r="R27" i="19"/>
  <c r="U110" i="19"/>
  <c r="R111" i="19"/>
  <c r="U126" i="19"/>
  <c r="R127" i="19"/>
  <c r="U42" i="19"/>
  <c r="R43" i="19"/>
  <c r="T12" i="22"/>
  <c r="V12" i="22" s="1"/>
  <c r="X12" i="22" s="1"/>
  <c r="Q11" i="22"/>
  <c r="P11" i="22"/>
  <c r="R11" i="22" a="1"/>
  <c r="N11" i="22" a="1"/>
  <c r="U27" i="19" l="1"/>
  <c r="R28" i="19"/>
  <c r="U28" i="19" s="1"/>
  <c r="U95" i="19"/>
  <c r="R96" i="19"/>
  <c r="U96" i="19" s="1"/>
  <c r="U43" i="19"/>
  <c r="R44" i="19"/>
  <c r="U171" i="19"/>
  <c r="R172" i="19"/>
  <c r="U127" i="19"/>
  <c r="R128" i="19"/>
  <c r="U111" i="19"/>
  <c r="R112" i="19"/>
  <c r="U59" i="19"/>
  <c r="R60" i="19"/>
  <c r="R154" i="19"/>
  <c r="U153" i="19"/>
  <c r="R11" i="22"/>
  <c r="N11" i="22"/>
  <c r="K11" i="22"/>
  <c r="J11" i="22"/>
  <c r="I11" i="22"/>
  <c r="H11" i="22"/>
  <c r="G11" i="22"/>
  <c r="F11" i="22"/>
  <c r="E11" i="22"/>
  <c r="D11" i="22"/>
  <c r="C11" i="22"/>
  <c r="W10" i="22"/>
  <c r="U10" i="22"/>
  <c r="R113" i="19" l="1"/>
  <c r="U113" i="19" s="1"/>
  <c r="U112" i="19"/>
  <c r="U154" i="19"/>
  <c r="R155" i="19"/>
  <c r="R61" i="19"/>
  <c r="U60" i="19"/>
  <c r="R45" i="19"/>
  <c r="U45" i="19" s="1"/>
  <c r="U44" i="19"/>
  <c r="R173" i="19"/>
  <c r="U172" i="19"/>
  <c r="R129" i="19"/>
  <c r="U128" i="19"/>
  <c r="S11" i="22"/>
  <c r="O11" i="22"/>
  <c r="T11" i="22" a="1"/>
  <c r="U155" i="19" l="1"/>
  <c r="R156" i="19"/>
  <c r="R130" i="19"/>
  <c r="U129" i="19"/>
  <c r="R174" i="19"/>
  <c r="U173" i="19"/>
  <c r="R62" i="19"/>
  <c r="U62" i="19" s="1"/>
  <c r="U61" i="19"/>
  <c r="T11" i="22"/>
  <c r="V11" i="22" s="1"/>
  <c r="X11" i="22" s="1"/>
  <c r="Q10" i="22"/>
  <c r="P10" i="22"/>
  <c r="R10" i="22" a="1"/>
  <c r="N10" i="22" a="1"/>
  <c r="U130" i="19" l="1"/>
  <c r="R131" i="19"/>
  <c r="U156" i="19"/>
  <c r="R157" i="19"/>
  <c r="U157" i="19" s="1"/>
  <c r="U174" i="19"/>
  <c r="R175" i="19"/>
  <c r="U175" i="19" s="1"/>
  <c r="R10" i="22"/>
  <c r="N10" i="22"/>
  <c r="K10" i="22"/>
  <c r="J10" i="22"/>
  <c r="I10" i="22"/>
  <c r="H10" i="22"/>
  <c r="G10" i="22"/>
  <c r="F10" i="22"/>
  <c r="E10" i="22"/>
  <c r="D10" i="22"/>
  <c r="C10" i="22"/>
  <c r="W9" i="22"/>
  <c r="U9" i="22"/>
  <c r="U131" i="19" l="1"/>
  <c r="R132" i="19"/>
  <c r="U132" i="19" s="1"/>
  <c r="S10" i="22"/>
  <c r="O10" i="22"/>
  <c r="T10" i="22" a="1"/>
  <c r="T10" i="22" l="1"/>
  <c r="V10" i="22" s="1"/>
  <c r="X10" i="22" s="1"/>
  <c r="Q9" i="22"/>
  <c r="P9" i="22"/>
  <c r="R9" i="22" a="1"/>
  <c r="N9" i="22" a="1"/>
  <c r="R9" i="22" l="1"/>
  <c r="N9" i="22"/>
  <c r="K9" i="22"/>
  <c r="J9" i="22"/>
  <c r="I9" i="22"/>
  <c r="H9" i="22"/>
  <c r="G9" i="22"/>
  <c r="F9" i="22"/>
  <c r="E9" i="22"/>
  <c r="D9" i="22"/>
  <c r="C9" i="22"/>
  <c r="V140" i="19"/>
  <c r="G14" i="19"/>
  <c r="G15" i="19"/>
  <c r="G16" i="19"/>
  <c r="G17" i="19"/>
  <c r="G18" i="19"/>
  <c r="G19" i="19"/>
  <c r="G20" i="19"/>
  <c r="G21" i="19"/>
  <c r="G22" i="19"/>
  <c r="G23" i="19"/>
  <c r="G24" i="19"/>
  <c r="G25" i="19"/>
  <c r="G26" i="19"/>
  <c r="G27" i="19"/>
  <c r="G28" i="19"/>
  <c r="G29" i="19"/>
  <c r="G30" i="19"/>
  <c r="G31" i="19"/>
  <c r="G32" i="19"/>
  <c r="G33" i="19"/>
  <c r="J33" i="19" s="1"/>
  <c r="G34" i="19"/>
  <c r="G35" i="19"/>
  <c r="G36" i="19"/>
  <c r="G37" i="19"/>
  <c r="G38" i="19"/>
  <c r="G39" i="19"/>
  <c r="G40" i="19"/>
  <c r="G41" i="19"/>
  <c r="G42" i="19"/>
  <c r="G43" i="19"/>
  <c r="G44" i="19"/>
  <c r="G45" i="19"/>
  <c r="G46" i="19"/>
  <c r="G47" i="19"/>
  <c r="G48" i="19"/>
  <c r="G49" i="19"/>
  <c r="J49" i="19" s="1"/>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J101" i="19" s="1"/>
  <c r="G102" i="19"/>
  <c r="G103" i="19"/>
  <c r="G104" i="19"/>
  <c r="G105" i="19"/>
  <c r="G106" i="19"/>
  <c r="G107" i="19"/>
  <c r="G108" i="19"/>
  <c r="G109" i="19"/>
  <c r="G110" i="19"/>
  <c r="G111" i="19"/>
  <c r="G112" i="19"/>
  <c r="G113" i="19"/>
  <c r="G114" i="19"/>
  <c r="G115" i="19"/>
  <c r="G116" i="19"/>
  <c r="G117" i="19"/>
  <c r="J117" i="19" s="1"/>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H14" i="19"/>
  <c r="H15" i="19"/>
  <c r="H32" i="19"/>
  <c r="H49" i="19"/>
  <c r="H66" i="19"/>
  <c r="H83" i="19"/>
  <c r="H100" i="19"/>
  <c r="H117" i="19"/>
  <c r="H142" i="19"/>
  <c r="H160" i="19"/>
  <c r="I14" i="19"/>
  <c r="I31" i="19"/>
  <c r="I48" i="19"/>
  <c r="I65" i="19"/>
  <c r="I82" i="19"/>
  <c r="I99" i="19"/>
  <c r="I116" i="19"/>
  <c r="I141" i="19"/>
  <c r="I159" i="19"/>
  <c r="I183" i="19"/>
  <c r="J15" i="19"/>
  <c r="J16" i="19" s="1"/>
  <c r="J32" i="19"/>
  <c r="J83" i="19"/>
  <c r="J84" i="19" s="1"/>
  <c r="J100" i="19"/>
  <c r="J160" i="19"/>
  <c r="K31" i="19"/>
  <c r="K48" i="19"/>
  <c r="K65" i="19"/>
  <c r="K99" i="19"/>
  <c r="K116" i="19"/>
  <c r="K141" i="19"/>
  <c r="K159" i="19"/>
  <c r="M14" i="19"/>
  <c r="M15" i="19"/>
  <c r="M16" i="19" s="1"/>
  <c r="M17" i="19" s="1"/>
  <c r="M18" i="19"/>
  <c r="M19" i="19"/>
  <c r="M20" i="19" s="1"/>
  <c r="M21" i="19" s="1"/>
  <c r="M22" i="19" s="1"/>
  <c r="M23" i="19"/>
  <c r="M24" i="19" s="1"/>
  <c r="M25" i="19" s="1"/>
  <c r="M26" i="19"/>
  <c r="M27" i="19" s="1"/>
  <c r="M28" i="19" s="1"/>
  <c r="M29" i="19" s="1"/>
  <c r="M30" i="19" s="1"/>
  <c r="M31" i="19" s="1"/>
  <c r="M32" i="19"/>
  <c r="M33" i="19"/>
  <c r="M34" i="19"/>
  <c r="M35" i="19"/>
  <c r="M36" i="19"/>
  <c r="M37" i="19"/>
  <c r="M38" i="19" s="1"/>
  <c r="M39" i="19" s="1"/>
  <c r="X39" i="19" s="1"/>
  <c r="M40" i="19"/>
  <c r="M41" i="19"/>
  <c r="M42" i="19" s="1"/>
  <c r="M43" i="19"/>
  <c r="M44" i="19" s="1"/>
  <c r="M45" i="19"/>
  <c r="M46" i="19" s="1"/>
  <c r="M47" i="19" s="1"/>
  <c r="M49" i="19"/>
  <c r="M50" i="19"/>
  <c r="M51" i="19" s="1"/>
  <c r="M52" i="19" s="1"/>
  <c r="M53" i="19"/>
  <c r="M54" i="19"/>
  <c r="M55" i="19"/>
  <c r="M56" i="19" s="1"/>
  <c r="M57" i="19"/>
  <c r="M58" i="19" s="1"/>
  <c r="M59" i="19" s="1"/>
  <c r="M60" i="19"/>
  <c r="M61" i="19"/>
  <c r="M62" i="19" s="1"/>
  <c r="M63" i="19" s="1"/>
  <c r="M66" i="19"/>
  <c r="M67" i="19" s="1"/>
  <c r="M68" i="19" s="1"/>
  <c r="M69" i="19" s="1"/>
  <c r="M70" i="19"/>
  <c r="M71" i="19" s="1"/>
  <c r="M72" i="19" s="1"/>
  <c r="M73" i="19" s="1"/>
  <c r="M74" i="19"/>
  <c r="M75" i="19"/>
  <c r="M76" i="19" s="1"/>
  <c r="M77" i="19"/>
  <c r="M78" i="19" s="1"/>
  <c r="M79" i="19" s="1"/>
  <c r="M80" i="19" s="1"/>
  <c r="M81" i="19" s="1"/>
  <c r="M83" i="19"/>
  <c r="M84" i="19" s="1"/>
  <c r="M85" i="19"/>
  <c r="M86" i="19"/>
  <c r="M87" i="19"/>
  <c r="M88" i="19" s="1"/>
  <c r="M89" i="19" s="1"/>
  <c r="M90" i="19" s="1"/>
  <c r="M91" i="19"/>
  <c r="M94" i="19"/>
  <c r="M95" i="19"/>
  <c r="M96" i="19" s="1"/>
  <c r="M97" i="19"/>
  <c r="M98" i="19" s="1"/>
  <c r="M99" i="19" s="1"/>
  <c r="M100" i="19"/>
  <c r="M101" i="19"/>
  <c r="M102" i="19" s="1"/>
  <c r="M103" i="19" s="1"/>
  <c r="M104" i="19"/>
  <c r="M105" i="19"/>
  <c r="M106" i="19" s="1"/>
  <c r="M107" i="19" s="1"/>
  <c r="M108" i="19"/>
  <c r="M109" i="19"/>
  <c r="M110" i="19" s="1"/>
  <c r="M111" i="19"/>
  <c r="M112" i="19" s="1"/>
  <c r="M113" i="19"/>
  <c r="M114" i="19"/>
  <c r="M115" i="19" s="1"/>
  <c r="M117" i="19"/>
  <c r="M118" i="19"/>
  <c r="M119" i="19"/>
  <c r="M120" i="19" s="1"/>
  <c r="M121" i="19"/>
  <c r="M122" i="19" s="1"/>
  <c r="M123" i="19" s="1"/>
  <c r="M125" i="19"/>
  <c r="M126" i="19" s="1"/>
  <c r="M127" i="19" s="1"/>
  <c r="M128" i="19"/>
  <c r="M129" i="19"/>
  <c r="M130" i="19" s="1"/>
  <c r="M131" i="19" s="1"/>
  <c r="M132" i="19" s="1"/>
  <c r="M133" i="19" s="1"/>
  <c r="M134" i="19"/>
  <c r="M135" i="19" s="1"/>
  <c r="X135" i="19" s="1"/>
  <c r="M136" i="19"/>
  <c r="M137" i="19"/>
  <c r="M138" i="19"/>
  <c r="M139" i="19" s="1"/>
  <c r="M140" i="19" s="1"/>
  <c r="M141" i="19" s="1"/>
  <c r="M142" i="19"/>
  <c r="M143" i="19"/>
  <c r="M144" i="19" s="1"/>
  <c r="M145" i="19" s="1"/>
  <c r="M146" i="19"/>
  <c r="M147" i="19"/>
  <c r="M148" i="19" s="1"/>
  <c r="M149" i="19"/>
  <c r="M150" i="19"/>
  <c r="M151" i="19" s="1"/>
  <c r="M152" i="19" s="1"/>
  <c r="M153" i="19"/>
  <c r="M154" i="19"/>
  <c r="M155" i="19" s="1"/>
  <c r="M156" i="19" s="1"/>
  <c r="M157" i="19" s="1"/>
  <c r="M158" i="19" s="1"/>
  <c r="M159" i="19"/>
  <c r="X159" i="19" s="1"/>
  <c r="M160" i="19"/>
  <c r="M161" i="19"/>
  <c r="M162" i="19"/>
  <c r="M163" i="19"/>
  <c r="X163" i="19" s="1"/>
  <c r="M164" i="19"/>
  <c r="M165" i="19"/>
  <c r="M166" i="19"/>
  <c r="M167" i="19"/>
  <c r="X167" i="19" s="1"/>
  <c r="M168" i="19"/>
  <c r="M169" i="19"/>
  <c r="M170" i="19"/>
  <c r="M171" i="19"/>
  <c r="M179" i="19"/>
  <c r="M180" i="19" s="1"/>
  <c r="M181" i="19" s="1"/>
  <c r="M182" i="19" s="1"/>
  <c r="M183" i="19"/>
  <c r="N15" i="19"/>
  <c r="N16" i="19"/>
  <c r="N17" i="19"/>
  <c r="N21" i="19"/>
  <c r="N25" i="19"/>
  <c r="N32" i="19"/>
  <c r="N33" i="19"/>
  <c r="N34" i="19"/>
  <c r="N35" i="19" s="1"/>
  <c r="N38" i="19"/>
  <c r="N39" i="19" s="1"/>
  <c r="N40" i="19" s="1"/>
  <c r="N41" i="19"/>
  <c r="N42" i="19"/>
  <c r="N43" i="19" s="1"/>
  <c r="N49" i="19"/>
  <c r="N51" i="19"/>
  <c r="N52" i="19"/>
  <c r="N53" i="19"/>
  <c r="N55" i="19"/>
  <c r="N56" i="19"/>
  <c r="N57" i="19"/>
  <c r="N59" i="19"/>
  <c r="N60" i="19"/>
  <c r="N61" i="19"/>
  <c r="N66" i="19"/>
  <c r="N67" i="19" s="1"/>
  <c r="N68" i="19"/>
  <c r="N69" i="19"/>
  <c r="N72" i="19"/>
  <c r="N73" i="19"/>
  <c r="N76" i="19"/>
  <c r="N77" i="19"/>
  <c r="N83" i="19"/>
  <c r="N84" i="19"/>
  <c r="N85" i="19"/>
  <c r="N89" i="19"/>
  <c r="N93" i="19"/>
  <c r="N100" i="19"/>
  <c r="N101" i="19"/>
  <c r="N102" i="19"/>
  <c r="N103" i="19" s="1"/>
  <c r="N104" i="19" s="1"/>
  <c r="N105" i="19"/>
  <c r="N106" i="19"/>
  <c r="N107" i="19" s="1"/>
  <c r="N108" i="19" s="1"/>
  <c r="N109" i="19"/>
  <c r="N110" i="19"/>
  <c r="N111" i="19" s="1"/>
  <c r="N112" i="19" s="1"/>
  <c r="N113" i="19" s="1"/>
  <c r="N117" i="19"/>
  <c r="N119" i="19"/>
  <c r="N120" i="19"/>
  <c r="N121" i="19"/>
  <c r="N123" i="19"/>
  <c r="N124" i="19"/>
  <c r="N125" i="19"/>
  <c r="N127" i="19"/>
  <c r="N128" i="19"/>
  <c r="N129" i="19"/>
  <c r="N132" i="19"/>
  <c r="N133" i="19"/>
  <c r="N135" i="19"/>
  <c r="N136" i="19"/>
  <c r="N137" i="19"/>
  <c r="N139" i="19"/>
  <c r="N140" i="19"/>
  <c r="N141" i="19"/>
  <c r="N142" i="19"/>
  <c r="N143" i="19" s="1"/>
  <c r="N144" i="19"/>
  <c r="N145" i="19"/>
  <c r="N148" i="19"/>
  <c r="N149" i="19"/>
  <c r="N152" i="19"/>
  <c r="N153" i="19"/>
  <c r="N157" i="19"/>
  <c r="N160" i="19"/>
  <c r="N161" i="19"/>
  <c r="N162" i="19"/>
  <c r="N163" i="19" s="1"/>
  <c r="N164" i="19" s="1"/>
  <c r="N165" i="19"/>
  <c r="N166" i="19"/>
  <c r="N167" i="19" s="1"/>
  <c r="N168" i="19" s="1"/>
  <c r="N169" i="19" s="1"/>
  <c r="N170" i="19"/>
  <c r="N171" i="19" s="1"/>
  <c r="N172" i="19" s="1"/>
  <c r="N173" i="19"/>
  <c r="N175" i="19"/>
  <c r="N176" i="19"/>
  <c r="N177" i="19"/>
  <c r="N178" i="19"/>
  <c r="N179" i="19" s="1"/>
  <c r="O14" i="19"/>
  <c r="O15" i="19"/>
  <c r="O16" i="19" s="1"/>
  <c r="O17" i="19" s="1"/>
  <c r="O18" i="19"/>
  <c r="O19" i="19"/>
  <c r="O20" i="19" s="1"/>
  <c r="O21" i="19" s="1"/>
  <c r="O22" i="19"/>
  <c r="O23" i="19"/>
  <c r="O24" i="19" s="1"/>
  <c r="O25" i="19" s="1"/>
  <c r="O26" i="19" s="1"/>
  <c r="O27" i="19"/>
  <c r="O28" i="19" s="1"/>
  <c r="O29" i="19" s="1"/>
  <c r="O32" i="19"/>
  <c r="O33" i="19" s="1"/>
  <c r="O34" i="19" s="1"/>
  <c r="O35" i="19"/>
  <c r="O36" i="19" s="1"/>
  <c r="O37" i="19" s="1"/>
  <c r="O38" i="19" s="1"/>
  <c r="O39" i="19"/>
  <c r="O40" i="19" s="1"/>
  <c r="O44" i="19"/>
  <c r="O45" i="19" s="1"/>
  <c r="O46" i="19" s="1"/>
  <c r="O47" i="19"/>
  <c r="O48" i="19" s="1"/>
  <c r="O49" i="19"/>
  <c r="O50" i="19"/>
  <c r="O51" i="19"/>
  <c r="O52" i="19"/>
  <c r="O53" i="19" s="1"/>
  <c r="O54" i="19" s="1"/>
  <c r="O55" i="19"/>
  <c r="O56" i="19"/>
  <c r="O57" i="19" s="1"/>
  <c r="O58" i="19" s="1"/>
  <c r="O59" i="19" s="1"/>
  <c r="O61" i="19"/>
  <c r="O62" i="19"/>
  <c r="O63" i="19"/>
  <c r="O64" i="19" s="1"/>
  <c r="O65" i="19" s="1"/>
  <c r="O66" i="19"/>
  <c r="O67" i="19"/>
  <c r="O68" i="19" s="1"/>
  <c r="O69" i="19"/>
  <c r="O70" i="19"/>
  <c r="O71" i="19"/>
  <c r="O72" i="19" s="1"/>
  <c r="O73" i="19"/>
  <c r="O74" i="19"/>
  <c r="O75" i="19"/>
  <c r="O76" i="19" s="1"/>
  <c r="O77" i="19" s="1"/>
  <c r="O78" i="19"/>
  <c r="O79" i="19"/>
  <c r="O80" i="19" s="1"/>
  <c r="O81" i="19" s="1"/>
  <c r="O82" i="19" s="1"/>
  <c r="O83" i="19"/>
  <c r="O84" i="19" s="1"/>
  <c r="O85" i="19" s="1"/>
  <c r="AA85" i="19" s="1"/>
  <c r="O86" i="19"/>
  <c r="O87" i="19"/>
  <c r="O88" i="19" s="1"/>
  <c r="O89" i="19" s="1"/>
  <c r="O90" i="19"/>
  <c r="O91" i="19"/>
  <c r="O92" i="19" s="1"/>
  <c r="O93" i="19" s="1"/>
  <c r="O95" i="19"/>
  <c r="O96" i="19" s="1"/>
  <c r="O97" i="19" s="1"/>
  <c r="O98" i="19" s="1"/>
  <c r="O99" i="19" s="1"/>
  <c r="O100" i="19"/>
  <c r="O101" i="19" s="1"/>
  <c r="O102" i="19" s="1"/>
  <c r="O103" i="19"/>
  <c r="O104" i="19" s="1"/>
  <c r="O105" i="19" s="1"/>
  <c r="O107" i="19"/>
  <c r="O108" i="19" s="1"/>
  <c r="O109" i="19" s="1"/>
  <c r="O110" i="19" s="1"/>
  <c r="O111" i="19" s="1"/>
  <c r="O112" i="19"/>
  <c r="O113" i="19" s="1"/>
  <c r="O114" i="19" s="1"/>
  <c r="O115" i="19"/>
  <c r="O117" i="19"/>
  <c r="O118" i="19"/>
  <c r="O119" i="19"/>
  <c r="O120" i="19"/>
  <c r="O121" i="19" s="1"/>
  <c r="O124" i="19"/>
  <c r="O125" i="19" s="1"/>
  <c r="O126" i="19" s="1"/>
  <c r="O127" i="19"/>
  <c r="O128" i="19" s="1"/>
  <c r="O129" i="19"/>
  <c r="O130" i="19"/>
  <c r="O131" i="19"/>
  <c r="O132" i="19" s="1"/>
  <c r="O133" i="19" s="1"/>
  <c r="O134" i="19" s="1"/>
  <c r="O135" i="19"/>
  <c r="O136" i="19" s="1"/>
  <c r="O137" i="19"/>
  <c r="O138" i="19"/>
  <c r="O139" i="19"/>
  <c r="O140" i="19" s="1"/>
  <c r="O141" i="19" s="1"/>
  <c r="O142" i="19"/>
  <c r="O143" i="19"/>
  <c r="O144" i="19" s="1"/>
  <c r="O145" i="19"/>
  <c r="O146" i="19"/>
  <c r="O147" i="19"/>
  <c r="O148" i="19" s="1"/>
  <c r="O149" i="19"/>
  <c r="O150" i="19"/>
  <c r="O151" i="19"/>
  <c r="O152" i="19" s="1"/>
  <c r="O153" i="19" s="1"/>
  <c r="O154" i="19"/>
  <c r="O155" i="19"/>
  <c r="O156" i="19" s="1"/>
  <c r="O157" i="19" s="1"/>
  <c r="O160" i="19"/>
  <c r="O161" i="19" s="1"/>
  <c r="O162" i="19" s="1"/>
  <c r="O163" i="19"/>
  <c r="O164" i="19" s="1"/>
  <c r="O165" i="19" s="1"/>
  <c r="O166" i="19" s="1"/>
  <c r="O167" i="19"/>
  <c r="O168" i="19" s="1"/>
  <c r="O169" i="19" s="1"/>
  <c r="O172" i="19"/>
  <c r="O173" i="19" s="1"/>
  <c r="O174" i="19" s="1"/>
  <c r="O175" i="19"/>
  <c r="O176" i="19" s="1"/>
  <c r="O177" i="19" s="1"/>
  <c r="O178" i="19" s="1"/>
  <c r="O179" i="19"/>
  <c r="O180" i="19"/>
  <c r="O181" i="19" s="1"/>
  <c r="O182" i="19" s="1"/>
  <c r="O183" i="19" s="1"/>
  <c r="P14" i="19"/>
  <c r="P15" i="19"/>
  <c r="P16" i="19"/>
  <c r="P17" i="19"/>
  <c r="P18" i="19" s="1"/>
  <c r="P19" i="19" s="1"/>
  <c r="P20" i="19"/>
  <c r="P21" i="19"/>
  <c r="P24" i="19"/>
  <c r="P25" i="19"/>
  <c r="P26" i="19" s="1"/>
  <c r="P27" i="19" s="1"/>
  <c r="P28" i="19"/>
  <c r="P29" i="19"/>
  <c r="P32" i="19"/>
  <c r="P33" i="19"/>
  <c r="P34" i="19" s="1"/>
  <c r="P35" i="19" s="1"/>
  <c r="P36" i="19" s="1"/>
  <c r="P37" i="19"/>
  <c r="P38" i="19" s="1"/>
  <c r="P39" i="19" s="1"/>
  <c r="P40" i="19" s="1"/>
  <c r="P41" i="19"/>
  <c r="P45" i="19"/>
  <c r="P46" i="19" s="1"/>
  <c r="P47" i="19" s="1"/>
  <c r="P48" i="19" s="1"/>
  <c r="P49" i="19"/>
  <c r="P50" i="19" s="1"/>
  <c r="P51" i="19" s="1"/>
  <c r="P52" i="19" s="1"/>
  <c r="P53" i="19"/>
  <c r="P54" i="19"/>
  <c r="P55" i="19" s="1"/>
  <c r="P58" i="19"/>
  <c r="P59" i="19" s="1"/>
  <c r="P60" i="19" s="1"/>
  <c r="P61" i="19"/>
  <c r="P62" i="19"/>
  <c r="P63" i="19" s="1"/>
  <c r="P64" i="19" s="1"/>
  <c r="P65" i="19" s="1"/>
  <c r="W65" i="19" s="1"/>
  <c r="P66" i="19"/>
  <c r="P67" i="19" s="1"/>
  <c r="P68" i="19" s="1"/>
  <c r="P69" i="19"/>
  <c r="P70" i="19" s="1"/>
  <c r="P71" i="19"/>
  <c r="P72" i="19"/>
  <c r="P73" i="19"/>
  <c r="P74" i="19" s="1"/>
  <c r="P75" i="19"/>
  <c r="P76" i="19"/>
  <c r="P77" i="19"/>
  <c r="P78" i="19" s="1"/>
  <c r="P79" i="19"/>
  <c r="P80" i="19"/>
  <c r="P81" i="19"/>
  <c r="P83" i="19"/>
  <c r="P84" i="19"/>
  <c r="P85" i="19"/>
  <c r="P86" i="19" s="1"/>
  <c r="P87" i="19" s="1"/>
  <c r="P88" i="19"/>
  <c r="P89" i="19"/>
  <c r="P90" i="19" s="1"/>
  <c r="P91" i="19" s="1"/>
  <c r="P92" i="19"/>
  <c r="P93" i="19"/>
  <c r="P94" i="19" s="1"/>
  <c r="P95" i="19" s="1"/>
  <c r="P96" i="19"/>
  <c r="P97" i="19"/>
  <c r="P98" i="19" s="1"/>
  <c r="P99" i="19" s="1"/>
  <c r="P100" i="19"/>
  <c r="P101" i="19"/>
  <c r="P102" i="19" s="1"/>
  <c r="P103" i="19" s="1"/>
  <c r="P104" i="19" s="1"/>
  <c r="P105" i="19"/>
  <c r="P109" i="19"/>
  <c r="P110" i="19" s="1"/>
  <c r="P111" i="19" s="1"/>
  <c r="P112" i="19" s="1"/>
  <c r="P113" i="19"/>
  <c r="P114" i="19" s="1"/>
  <c r="P115" i="19" s="1"/>
  <c r="P116" i="19" s="1"/>
  <c r="P117" i="19"/>
  <c r="P118" i="19" s="1"/>
  <c r="P119" i="19" s="1"/>
  <c r="P120" i="19" s="1"/>
  <c r="P121" i="19"/>
  <c r="W121" i="19" s="1"/>
  <c r="P122" i="19"/>
  <c r="P123" i="19" s="1"/>
  <c r="P124" i="19" s="1"/>
  <c r="P125" i="19" s="1"/>
  <c r="W125" i="19" s="1"/>
  <c r="P126" i="19"/>
  <c r="P127" i="19" s="1"/>
  <c r="P128" i="19" s="1"/>
  <c r="P129" i="19"/>
  <c r="W129" i="19" s="1"/>
  <c r="P130" i="19"/>
  <c r="P131" i="19" s="1"/>
  <c r="P132" i="19" s="1"/>
  <c r="P133" i="19" s="1"/>
  <c r="P138" i="19"/>
  <c r="P139" i="19" s="1"/>
  <c r="P140" i="19" s="1"/>
  <c r="P141" i="19" s="1"/>
  <c r="W141" i="19" s="1"/>
  <c r="P142" i="19"/>
  <c r="P143" i="19" s="1"/>
  <c r="P144" i="19" s="1"/>
  <c r="P145" i="19"/>
  <c r="P146" i="19" s="1"/>
  <c r="P147" i="19"/>
  <c r="P148" i="19"/>
  <c r="P149" i="19"/>
  <c r="P150" i="19" s="1"/>
  <c r="P151" i="19"/>
  <c r="P152" i="19"/>
  <c r="P153" i="19"/>
  <c r="P154" i="19" s="1"/>
  <c r="P155" i="19"/>
  <c r="P156" i="19"/>
  <c r="P157" i="19"/>
  <c r="P160" i="19"/>
  <c r="P161" i="19"/>
  <c r="P162" i="19" s="1"/>
  <c r="P163" i="19" s="1"/>
  <c r="P164" i="19" s="1"/>
  <c r="P165" i="19"/>
  <c r="P166" i="19" s="1"/>
  <c r="P167" i="19" s="1"/>
  <c r="P168" i="19" s="1"/>
  <c r="P169" i="19"/>
  <c r="P173" i="19"/>
  <c r="P174" i="19" s="1"/>
  <c r="P175" i="19" s="1"/>
  <c r="P176" i="19" s="1"/>
  <c r="P177" i="19" s="1"/>
  <c r="P181" i="19"/>
  <c r="P182" i="19" s="1"/>
  <c r="P183" i="19" s="1"/>
  <c r="Y61" i="19"/>
  <c r="Y121" i="19"/>
  <c r="V16" i="19"/>
  <c r="V32" i="19"/>
  <c r="V49" i="19"/>
  <c r="V84" i="19"/>
  <c r="V100" i="19"/>
  <c r="V117" i="19"/>
  <c r="V143" i="19"/>
  <c r="S14" i="19"/>
  <c r="S16" i="19"/>
  <c r="S17" i="19" s="1"/>
  <c r="S30" i="19"/>
  <c r="S31" i="19"/>
  <c r="S32" i="19"/>
  <c r="S33" i="19" s="1"/>
  <c r="S47" i="19"/>
  <c r="S48" i="19" s="1"/>
  <c r="S49" i="19"/>
  <c r="S50" i="19"/>
  <c r="S51" i="19" s="1"/>
  <c r="S52" i="19" s="1"/>
  <c r="S53" i="19" s="1"/>
  <c r="S64" i="19"/>
  <c r="S65" i="19" s="1"/>
  <c r="S66" i="19"/>
  <c r="S67" i="19" s="1"/>
  <c r="S68" i="19" s="1"/>
  <c r="S69" i="19" s="1"/>
  <c r="S81" i="19"/>
  <c r="S82" i="19"/>
  <c r="S83" i="19"/>
  <c r="S84" i="19" s="1"/>
  <c r="S85" i="19" s="1"/>
  <c r="S86" i="19" s="1"/>
  <c r="S87" i="19" s="1"/>
  <c r="S88" i="19" s="1"/>
  <c r="S89" i="19" s="1"/>
  <c r="S90" i="19" s="1"/>
  <c r="S91" i="19" s="1"/>
  <c r="S92" i="19" s="1"/>
  <c r="S93" i="19" s="1"/>
  <c r="S94" i="19" s="1"/>
  <c r="S95" i="19" s="1"/>
  <c r="S96" i="19" s="1"/>
  <c r="S97" i="19" s="1"/>
  <c r="S98" i="19"/>
  <c r="S99" i="19" s="1"/>
  <c r="S100" i="19"/>
  <c r="S101" i="19"/>
  <c r="S102" i="19" s="1"/>
  <c r="S103" i="19" s="1"/>
  <c r="S104" i="19" s="1"/>
  <c r="S105" i="19" s="1"/>
  <c r="S106" i="19" s="1"/>
  <c r="S107" i="19" s="1"/>
  <c r="S108" i="19" s="1"/>
  <c r="S109" i="19" s="1"/>
  <c r="S110" i="19" s="1"/>
  <c r="S111" i="19" s="1"/>
  <c r="S112" i="19" s="1"/>
  <c r="S113" i="19" s="1"/>
  <c r="S114" i="19" s="1"/>
  <c r="S115" i="19"/>
  <c r="S116" i="19" s="1"/>
  <c r="S117" i="19"/>
  <c r="S118" i="19"/>
  <c r="S119" i="19" s="1"/>
  <c r="S120" i="19" s="1"/>
  <c r="S121" i="19" s="1"/>
  <c r="S122" i="19" s="1"/>
  <c r="S123" i="19" s="1"/>
  <c r="S124" i="19" s="1"/>
  <c r="S125" i="19" s="1"/>
  <c r="S126" i="19"/>
  <c r="S127" i="19" s="1"/>
  <c r="S128" i="19" s="1"/>
  <c r="S129" i="19" s="1"/>
  <c r="S130" i="19" s="1"/>
  <c r="S131" i="19"/>
  <c r="S132" i="19" s="1"/>
  <c r="S133" i="19" s="1"/>
  <c r="S134" i="19" s="1"/>
  <c r="S135" i="19" s="1"/>
  <c r="S136" i="19" s="1"/>
  <c r="S137" i="19" s="1"/>
  <c r="S138" i="19" s="1"/>
  <c r="S139" i="19" s="1"/>
  <c r="S140" i="19" s="1"/>
  <c r="S141" i="19" s="1"/>
  <c r="S142" i="19"/>
  <c r="S143" i="19" s="1"/>
  <c r="S144" i="19" s="1"/>
  <c r="S145" i="19" s="1"/>
  <c r="S146" i="19" s="1"/>
  <c r="S147" i="19" s="1"/>
  <c r="S148" i="19" s="1"/>
  <c r="S149" i="19" s="1"/>
  <c r="S150" i="19" s="1"/>
  <c r="S151" i="19" s="1"/>
  <c r="S152" i="19" s="1"/>
  <c r="S153" i="19" s="1"/>
  <c r="S154" i="19" s="1"/>
  <c r="S155" i="19" s="1"/>
  <c r="S156" i="19"/>
  <c r="S157" i="19" s="1"/>
  <c r="S158" i="19" s="1"/>
  <c r="S159" i="19" s="1"/>
  <c r="S160" i="19"/>
  <c r="S161" i="19"/>
  <c r="S162" i="19" s="1"/>
  <c r="S163" i="19" s="1"/>
  <c r="S164" i="19" s="1"/>
  <c r="S165" i="19" s="1"/>
  <c r="S166" i="19" s="1"/>
  <c r="S167" i="19" s="1"/>
  <c r="S168" i="19" s="1"/>
  <c r="S169" i="19" s="1"/>
  <c r="S170" i="19" s="1"/>
  <c r="S171" i="19" s="1"/>
  <c r="S172" i="19" s="1"/>
  <c r="S173" i="19" s="1"/>
  <c r="S174" i="19"/>
  <c r="S175" i="19" s="1"/>
  <c r="S176" i="19" s="1"/>
  <c r="S177" i="19" s="1"/>
  <c r="S178" i="19" s="1"/>
  <c r="S179" i="19" s="1"/>
  <c r="S180" i="19" s="1"/>
  <c r="S181" i="19" s="1"/>
  <c r="S182" i="19" s="1"/>
  <c r="S183" i="19" s="1"/>
  <c r="V15" i="19"/>
  <c r="V17" i="19"/>
  <c r="V33" i="19"/>
  <c r="V83" i="19"/>
  <c r="V85" i="19"/>
  <c r="V133" i="19"/>
  <c r="V141" i="19"/>
  <c r="V142" i="19"/>
  <c r="V177" i="19"/>
  <c r="W14" i="19"/>
  <c r="W15" i="19"/>
  <c r="W16" i="19"/>
  <c r="W17" i="19"/>
  <c r="W18" i="19"/>
  <c r="W19" i="19"/>
  <c r="W20" i="19"/>
  <c r="W24" i="19"/>
  <c r="W25" i="19"/>
  <c r="W26" i="19"/>
  <c r="W27" i="19"/>
  <c r="W28" i="19"/>
  <c r="W32" i="19"/>
  <c r="W33" i="19"/>
  <c r="W34" i="19"/>
  <c r="W35" i="19"/>
  <c r="W36" i="19"/>
  <c r="W37" i="19"/>
  <c r="W38" i="19"/>
  <c r="W39" i="19"/>
  <c r="W40" i="19"/>
  <c r="W45" i="19"/>
  <c r="W46" i="19"/>
  <c r="W47" i="19"/>
  <c r="W48" i="19"/>
  <c r="W49" i="19"/>
  <c r="W50" i="19"/>
  <c r="W51" i="19"/>
  <c r="W52" i="19"/>
  <c r="W53" i="19"/>
  <c r="W54" i="19"/>
  <c r="W58" i="19"/>
  <c r="W59" i="19"/>
  <c r="W60" i="19"/>
  <c r="W61" i="19"/>
  <c r="W62" i="19"/>
  <c r="W63" i="19"/>
  <c r="W64" i="19"/>
  <c r="W66" i="19"/>
  <c r="W67" i="19"/>
  <c r="W68" i="19"/>
  <c r="W69" i="19"/>
  <c r="W70" i="19"/>
  <c r="W71" i="19"/>
  <c r="W72" i="19"/>
  <c r="W73" i="19"/>
  <c r="W74" i="19"/>
  <c r="W75" i="19"/>
  <c r="W76" i="19"/>
  <c r="W77" i="19"/>
  <c r="W78" i="19"/>
  <c r="W79" i="19"/>
  <c r="W80" i="19"/>
  <c r="W83" i="19"/>
  <c r="W84" i="19"/>
  <c r="W85" i="19"/>
  <c r="W86" i="19"/>
  <c r="W87" i="19"/>
  <c r="W88" i="19"/>
  <c r="W89" i="19"/>
  <c r="W90" i="19"/>
  <c r="W91" i="19"/>
  <c r="W92" i="19"/>
  <c r="W93" i="19"/>
  <c r="W94" i="19"/>
  <c r="W95" i="19"/>
  <c r="W96" i="19"/>
  <c r="W97" i="19"/>
  <c r="W98" i="19"/>
  <c r="W99" i="19"/>
  <c r="W100" i="19"/>
  <c r="W101" i="19"/>
  <c r="W102" i="19"/>
  <c r="W103" i="19"/>
  <c r="W104" i="19"/>
  <c r="W109" i="19"/>
  <c r="W110" i="19"/>
  <c r="W111" i="19"/>
  <c r="W112" i="19"/>
  <c r="W113" i="19"/>
  <c r="W114" i="19"/>
  <c r="W115" i="19"/>
  <c r="W116" i="19"/>
  <c r="W117" i="19"/>
  <c r="W118" i="19"/>
  <c r="W119" i="19"/>
  <c r="W120" i="19"/>
  <c r="W122" i="19"/>
  <c r="W123" i="19"/>
  <c r="W124" i="19"/>
  <c r="W126" i="19"/>
  <c r="W127" i="19"/>
  <c r="W128" i="19"/>
  <c r="W130" i="19"/>
  <c r="W131" i="19"/>
  <c r="W132" i="19"/>
  <c r="W138" i="19"/>
  <c r="W139" i="19"/>
  <c r="W140" i="19"/>
  <c r="W142" i="19"/>
  <c r="W143" i="19"/>
  <c r="W144" i="19"/>
  <c r="W145" i="19"/>
  <c r="W146" i="19"/>
  <c r="W147" i="19"/>
  <c r="W148" i="19"/>
  <c r="W149" i="19"/>
  <c r="W150" i="19"/>
  <c r="W151" i="19"/>
  <c r="W152" i="19"/>
  <c r="W153" i="19"/>
  <c r="W154" i="19"/>
  <c r="W155" i="19"/>
  <c r="W156" i="19"/>
  <c r="W160" i="19"/>
  <c r="W161" i="19"/>
  <c r="W162" i="19"/>
  <c r="W163" i="19"/>
  <c r="W164" i="19"/>
  <c r="W165" i="19"/>
  <c r="W166" i="19"/>
  <c r="W167" i="19"/>
  <c r="W168" i="19"/>
  <c r="W173" i="19"/>
  <c r="W174" i="19"/>
  <c r="W175" i="19"/>
  <c r="W176" i="19"/>
  <c r="W181" i="19"/>
  <c r="W182" i="19"/>
  <c r="W18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40" i="19"/>
  <c r="X41" i="19"/>
  <c r="X42" i="19"/>
  <c r="X43" i="19"/>
  <c r="X44" i="19"/>
  <c r="X45" i="19"/>
  <c r="X46" i="19"/>
  <c r="X49" i="19"/>
  <c r="X50" i="19"/>
  <c r="X51" i="19"/>
  <c r="X52" i="19"/>
  <c r="X53" i="19"/>
  <c r="X54" i="19"/>
  <c r="X55" i="19"/>
  <c r="X56" i="19"/>
  <c r="X57" i="19"/>
  <c r="X58" i="19"/>
  <c r="X59" i="19"/>
  <c r="X60" i="19"/>
  <c r="X61" i="19"/>
  <c r="X62" i="19"/>
  <c r="X66" i="19"/>
  <c r="X67" i="19"/>
  <c r="X68" i="19"/>
  <c r="X69" i="19"/>
  <c r="X70" i="19"/>
  <c r="X71" i="19"/>
  <c r="X72" i="19"/>
  <c r="X73" i="19"/>
  <c r="X74" i="19"/>
  <c r="X75" i="19"/>
  <c r="X76" i="19"/>
  <c r="X77" i="19"/>
  <c r="X78" i="19"/>
  <c r="X79" i="19"/>
  <c r="X80" i="19"/>
  <c r="X83" i="19"/>
  <c r="X84" i="19"/>
  <c r="X85" i="19"/>
  <c r="X86" i="19"/>
  <c r="X87" i="19"/>
  <c r="X88" i="19"/>
  <c r="X89" i="19"/>
  <c r="X90" i="19"/>
  <c r="X94" i="19"/>
  <c r="X95" i="19"/>
  <c r="X96" i="19"/>
  <c r="X97" i="19"/>
  <c r="X98" i="19"/>
  <c r="X99" i="19"/>
  <c r="X100" i="19"/>
  <c r="X101" i="19"/>
  <c r="X102" i="19"/>
  <c r="X103" i="19"/>
  <c r="X104" i="19"/>
  <c r="X105" i="19"/>
  <c r="X106" i="19"/>
  <c r="X107" i="19"/>
  <c r="X108" i="19"/>
  <c r="X109" i="19"/>
  <c r="X110" i="19"/>
  <c r="X111" i="19"/>
  <c r="X112" i="19"/>
  <c r="X113" i="19"/>
  <c r="X114" i="19"/>
  <c r="X117" i="19"/>
  <c r="X118" i="19"/>
  <c r="X119" i="19"/>
  <c r="X120" i="19"/>
  <c r="X121" i="19"/>
  <c r="X122" i="19"/>
  <c r="X125" i="19"/>
  <c r="X126" i="19"/>
  <c r="X127" i="19"/>
  <c r="X128" i="19"/>
  <c r="X129" i="19"/>
  <c r="X130" i="19"/>
  <c r="X131" i="19"/>
  <c r="X132" i="19"/>
  <c r="X133" i="19"/>
  <c r="X134"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60" i="19"/>
  <c r="X161" i="19"/>
  <c r="X162" i="19"/>
  <c r="X164" i="19"/>
  <c r="X165" i="19"/>
  <c r="X166" i="19"/>
  <c r="X168" i="19"/>
  <c r="X169" i="19"/>
  <c r="X170" i="19"/>
  <c r="X179" i="19"/>
  <c r="X180" i="19"/>
  <c r="X181" i="19"/>
  <c r="X182" i="19"/>
  <c r="X183" i="19"/>
  <c r="Y15" i="19"/>
  <c r="Y16" i="19"/>
  <c r="Y17" i="19"/>
  <c r="Z17" i="19" s="1"/>
  <c r="Y32" i="19"/>
  <c r="Y49" i="19"/>
  <c r="Y51" i="19"/>
  <c r="Y52" i="19"/>
  <c r="Y53" i="19"/>
  <c r="Y55" i="19"/>
  <c r="Y56" i="19"/>
  <c r="Y59" i="19"/>
  <c r="Y60" i="19"/>
  <c r="Y66" i="19"/>
  <c r="Y67" i="19"/>
  <c r="Y68" i="19"/>
  <c r="Y69" i="19"/>
  <c r="Y72" i="19"/>
  <c r="Y83" i="19"/>
  <c r="Y84" i="19"/>
  <c r="Y85" i="19"/>
  <c r="Z85" i="19" s="1"/>
  <c r="Y100" i="19"/>
  <c r="Y117" i="19"/>
  <c r="Y119" i="19"/>
  <c r="Y120" i="19"/>
  <c r="Y132" i="19"/>
  <c r="Y133" i="19"/>
  <c r="Z133" i="19" s="1"/>
  <c r="Y135" i="19"/>
  <c r="Y136" i="19"/>
  <c r="Y139" i="19"/>
  <c r="Y140" i="19"/>
  <c r="Z140" i="19" s="1"/>
  <c r="Y160" i="19"/>
  <c r="Y161" i="19"/>
  <c r="Y175" i="19"/>
  <c r="Y176" i="19"/>
  <c r="Y177" i="19"/>
  <c r="Z177" i="19" s="1"/>
  <c r="Z15" i="19"/>
  <c r="Z16" i="19"/>
  <c r="Z32" i="19"/>
  <c r="Z33" i="19"/>
  <c r="Z49" i="19"/>
  <c r="Z66" i="19"/>
  <c r="Z67" i="19"/>
  <c r="Z83" i="19"/>
  <c r="Z84" i="19"/>
  <c r="Z100" i="19"/>
  <c r="Z117" i="19"/>
  <c r="Z142" i="19"/>
  <c r="Z143" i="19"/>
  <c r="Z160" i="19"/>
  <c r="Z161" i="19"/>
  <c r="AA14" i="19"/>
  <c r="AA15" i="19"/>
  <c r="AA16" i="19"/>
  <c r="AA17" i="19"/>
  <c r="AA18" i="19"/>
  <c r="AA19" i="19"/>
  <c r="AA20" i="19"/>
  <c r="AA21" i="19"/>
  <c r="AA22" i="19"/>
  <c r="AA23" i="19"/>
  <c r="AA24" i="19"/>
  <c r="AA25" i="19"/>
  <c r="AA26" i="19"/>
  <c r="AA27" i="19"/>
  <c r="AA28" i="19"/>
  <c r="AA32" i="19"/>
  <c r="AA33" i="19"/>
  <c r="AA34" i="19"/>
  <c r="AA35" i="19"/>
  <c r="AA36" i="19"/>
  <c r="AA37" i="19"/>
  <c r="AA38" i="19"/>
  <c r="AA39" i="19"/>
  <c r="AA44" i="19"/>
  <c r="AA45" i="19"/>
  <c r="AA46" i="19"/>
  <c r="AA47" i="19"/>
  <c r="AA48" i="19"/>
  <c r="AA49" i="19"/>
  <c r="AA50" i="19"/>
  <c r="AA51" i="19"/>
  <c r="AA52" i="19"/>
  <c r="AA53" i="19"/>
  <c r="AA54" i="19"/>
  <c r="AA55" i="19"/>
  <c r="AA56" i="19"/>
  <c r="AA57" i="19"/>
  <c r="AA58"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6" i="19"/>
  <c r="AA87" i="19"/>
  <c r="AA88" i="19"/>
  <c r="AA89" i="19"/>
  <c r="AA90" i="19"/>
  <c r="AA91" i="19"/>
  <c r="AA92" i="19"/>
  <c r="AA95" i="19"/>
  <c r="AA96" i="19"/>
  <c r="AA97" i="19"/>
  <c r="AA98" i="19"/>
  <c r="AA99" i="19"/>
  <c r="AA100" i="19"/>
  <c r="AA101" i="19"/>
  <c r="AA102" i="19"/>
  <c r="AA103" i="19"/>
  <c r="AA104" i="19"/>
  <c r="AA107" i="19"/>
  <c r="AA108" i="19"/>
  <c r="AA109" i="19"/>
  <c r="AA110" i="19"/>
  <c r="AA111" i="19"/>
  <c r="AA112" i="19"/>
  <c r="AA113" i="19"/>
  <c r="AA114" i="19"/>
  <c r="AA117" i="19"/>
  <c r="AA118" i="19"/>
  <c r="AA119" i="19"/>
  <c r="AA120"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60" i="19"/>
  <c r="AA161" i="19"/>
  <c r="AA162" i="19"/>
  <c r="AA163" i="19"/>
  <c r="AA164" i="19"/>
  <c r="AA165" i="19"/>
  <c r="AA166" i="19"/>
  <c r="AA167" i="19"/>
  <c r="AA168" i="19"/>
  <c r="AA172" i="19"/>
  <c r="AA173" i="19"/>
  <c r="AA174" i="19"/>
  <c r="AA175" i="19"/>
  <c r="AA176" i="19"/>
  <c r="AA177" i="19"/>
  <c r="AA178" i="19"/>
  <c r="AA179" i="19"/>
  <c r="AA180" i="19"/>
  <c r="AA181" i="19"/>
  <c r="AA182" i="19"/>
  <c r="AA183" i="19"/>
  <c r="F142" i="19" a="1"/>
  <c r="F101" i="19" a="1"/>
  <c r="F24" i="19" a="1"/>
  <c r="F71" i="19" a="1"/>
  <c r="F128" i="19" a="1"/>
  <c r="F150" i="19" a="1"/>
  <c r="F25" i="19" a="1"/>
  <c r="F19" i="19" a="1"/>
  <c r="F21" i="19" a="1"/>
  <c r="F169" i="19" a="1"/>
  <c r="F173" i="19" a="1"/>
  <c r="F123" i="19" a="1"/>
  <c r="F167" i="19" a="1"/>
  <c r="F172" i="19" a="1"/>
  <c r="F22" i="19" a="1"/>
  <c r="F175" i="19" a="1"/>
  <c r="F148" i="19" a="1"/>
  <c r="F161" i="19" a="1"/>
  <c r="F118" i="19" a="1"/>
  <c r="F61" i="19" a="1"/>
  <c r="F137" i="19" a="1"/>
  <c r="F94" i="19" a="1"/>
  <c r="F180" i="19" a="1"/>
  <c r="F168" i="19" a="1"/>
  <c r="F23" i="19" a="1"/>
  <c r="F32" i="19" a="1"/>
  <c r="F70" i="19" a="1"/>
  <c r="F34" i="19" a="1"/>
  <c r="F80" i="19" a="1"/>
  <c r="F92" i="19" a="1"/>
  <c r="F73" i="19" a="1"/>
  <c r="F125" i="19" a="1"/>
  <c r="F132" i="19" a="1"/>
  <c r="F145" i="19" a="1"/>
  <c r="F163" i="19" a="1"/>
  <c r="F26" i="19" a="1"/>
  <c r="F98" i="19" a="1"/>
  <c r="F84" i="19" a="1"/>
  <c r="F97" i="19" a="1"/>
  <c r="F93" i="19" a="1"/>
  <c r="F121" i="19" a="1"/>
  <c r="F181" i="19" a="1"/>
  <c r="F104" i="19" a="1"/>
  <c r="F38" i="19" a="1"/>
  <c r="F60" i="19" a="1"/>
  <c r="F37" i="19" a="1"/>
  <c r="F144" i="19" a="1"/>
  <c r="F17" i="19" a="1"/>
  <c r="F50" i="19" a="1"/>
  <c r="F82" i="19" a="1"/>
  <c r="F141" i="19" a="1"/>
  <c r="F134" i="19" a="1"/>
  <c r="F174" i="19" a="1"/>
  <c r="F89" i="19" a="1"/>
  <c r="F130" i="19" a="1"/>
  <c r="F28" i="19" a="1"/>
  <c r="F36" i="19" a="1"/>
  <c r="F59" i="19" a="1"/>
  <c r="F49" i="19" a="1"/>
  <c r="F135" i="19" a="1"/>
  <c r="F157" i="19" a="1"/>
  <c r="F108" i="19" a="1"/>
  <c r="F153" i="19" a="1"/>
  <c r="F33" i="19" a="1"/>
  <c r="F43" i="19" a="1"/>
  <c r="F111" i="19" a="1"/>
  <c r="F110" i="19" a="1"/>
  <c r="F66" i="19" a="1"/>
  <c r="F64" i="19" a="1"/>
  <c r="F162" i="19" a="1"/>
  <c r="F124" i="19" a="1"/>
  <c r="F83" i="19" a="1"/>
  <c r="F27" i="19" a="1"/>
  <c r="F119" i="19" a="1"/>
  <c r="F85" i="19" a="1"/>
  <c r="F54" i="19" a="1"/>
  <c r="F58" i="19" a="1"/>
  <c r="F158" i="19" a="1"/>
  <c r="F133" i="19" a="1"/>
  <c r="F120" i="19" a="1"/>
  <c r="F87" i="19" a="1"/>
  <c r="F160" i="19" a="1"/>
  <c r="F182" i="19" a="1"/>
  <c r="F57" i="19" a="1"/>
  <c r="F147" i="19" a="1"/>
  <c r="F53" i="19" a="1"/>
  <c r="F31" i="19" a="1"/>
  <c r="F131" i="19" a="1"/>
  <c r="F165" i="19" a="1"/>
  <c r="F103" i="19" a="1"/>
  <c r="F44" i="19" a="1"/>
  <c r="F109" i="19" a="1"/>
  <c r="F63" i="19" a="1"/>
  <c r="F69" i="19" a="1"/>
  <c r="F55" i="19" a="1"/>
  <c r="F99" i="19" a="1"/>
  <c r="F90" i="19" a="1"/>
  <c r="F152" i="19" a="1"/>
  <c r="F164" i="19" a="1"/>
  <c r="F177" i="19" a="1"/>
  <c r="F72" i="19" a="1"/>
  <c r="F41" i="19" a="1"/>
  <c r="F39" i="19" a="1"/>
  <c r="F105" i="19" a="1"/>
  <c r="F179" i="19" a="1"/>
  <c r="F30" i="19" a="1"/>
  <c r="F129" i="19" a="1"/>
  <c r="F75" i="19" a="1"/>
  <c r="F16" i="19" a="1"/>
  <c r="F29" i="19" a="1"/>
  <c r="F126" i="19" a="1"/>
  <c r="F114" i="19" a="1"/>
  <c r="F14" i="19" a="1"/>
  <c r="F100" i="19" a="1"/>
  <c r="F18" i="19" a="1"/>
  <c r="F113" i="19" a="1"/>
  <c r="F42" i="19" a="1"/>
  <c r="F77" i="19" a="1"/>
  <c r="F149" i="19" a="1"/>
  <c r="F127" i="19" a="1"/>
  <c r="F86" i="19" a="1"/>
  <c r="F178" i="19" a="1"/>
  <c r="F122" i="19" a="1"/>
  <c r="F68" i="19" a="1"/>
  <c r="F81" i="19" a="1"/>
  <c r="F115" i="19" a="1"/>
  <c r="F47" i="19" a="1"/>
  <c r="F171" i="19" a="1"/>
  <c r="F62" i="19" a="1"/>
  <c r="F40" i="19" a="1"/>
  <c r="F138" i="19" a="1"/>
  <c r="F88" i="19" a="1"/>
  <c r="F156" i="19" a="1"/>
  <c r="F45" i="19" a="1"/>
  <c r="F52" i="19" a="1"/>
  <c r="F91" i="19" a="1"/>
  <c r="F65" i="19" a="1"/>
  <c r="F151" i="19" a="1"/>
  <c r="F51" i="19" a="1"/>
  <c r="F140" i="19" a="1"/>
  <c r="F15" i="19" a="1"/>
  <c r="F67" i="19" a="1"/>
  <c r="F107" i="19" a="1"/>
  <c r="F143" i="19" a="1"/>
  <c r="F46" i="19" a="1"/>
  <c r="F146" i="19" a="1"/>
  <c r="F106" i="19" a="1"/>
  <c r="F139" i="19" a="1"/>
  <c r="F166" i="19" a="1"/>
  <c r="F48" i="19" a="1"/>
  <c r="F155" i="19" a="1"/>
  <c r="F183" i="19" a="1"/>
  <c r="F76" i="19" a="1"/>
  <c r="F35" i="19" a="1"/>
  <c r="F95" i="19" a="1"/>
  <c r="F78" i="19" a="1"/>
  <c r="F170" i="19" a="1"/>
  <c r="F154" i="19" a="1"/>
  <c r="F176" i="19" a="1"/>
  <c r="F102" i="19" a="1"/>
  <c r="F20" i="19" a="1"/>
  <c r="F79" i="19" a="1"/>
  <c r="F116" i="19" a="1"/>
  <c r="F74" i="19" a="1"/>
  <c r="F159" i="19" a="1"/>
  <c r="F136" i="19" a="1"/>
  <c r="F56" i="19" a="1"/>
  <c r="F117" i="19" a="1"/>
  <c r="F96" i="19" a="1"/>
  <c r="F112" i="19" a="1"/>
  <c r="S9" i="22" l="1"/>
  <c r="O9" i="22"/>
  <c r="F99" i="19"/>
  <c r="F56" i="19"/>
  <c r="F131" i="19"/>
  <c r="F88" i="19"/>
  <c r="F163" i="19"/>
  <c r="F120" i="19"/>
  <c r="F35" i="19"/>
  <c r="F152" i="19"/>
  <c r="F67" i="19"/>
  <c r="F24" i="19"/>
  <c r="F173" i="19"/>
  <c r="F162" i="19"/>
  <c r="F141" i="19"/>
  <c r="F130" i="19"/>
  <c r="F109" i="19"/>
  <c r="F98" i="19"/>
  <c r="F77" i="19"/>
  <c r="F66" i="19"/>
  <c r="F45" i="19"/>
  <c r="F34" i="19"/>
  <c r="F179" i="19"/>
  <c r="F168" i="19"/>
  <c r="F147" i="19"/>
  <c r="F136" i="19"/>
  <c r="F115" i="19"/>
  <c r="F104" i="19"/>
  <c r="F83" i="19"/>
  <c r="F72" i="19"/>
  <c r="F51" i="19"/>
  <c r="F40" i="19"/>
  <c r="F19" i="19"/>
  <c r="F178" i="19"/>
  <c r="F157" i="19"/>
  <c r="F146" i="19"/>
  <c r="F125" i="19"/>
  <c r="F114" i="19"/>
  <c r="F93" i="19"/>
  <c r="F82" i="19"/>
  <c r="F61" i="19"/>
  <c r="F50" i="19"/>
  <c r="F29" i="19"/>
  <c r="F18" i="19"/>
  <c r="F176" i="19"/>
  <c r="F171" i="19"/>
  <c r="F160" i="19"/>
  <c r="F155" i="19"/>
  <c r="F144" i="19"/>
  <c r="F139" i="19"/>
  <c r="F128" i="19"/>
  <c r="F123" i="19"/>
  <c r="F112" i="19"/>
  <c r="F107" i="19"/>
  <c r="F96" i="19"/>
  <c r="F91" i="19"/>
  <c r="F80" i="19"/>
  <c r="F75" i="19"/>
  <c r="F64" i="19"/>
  <c r="F59" i="19"/>
  <c r="F48" i="19"/>
  <c r="F43" i="19"/>
  <c r="F32" i="19"/>
  <c r="F27" i="19"/>
  <c r="F16" i="19"/>
  <c r="F181" i="19"/>
  <c r="F170" i="19"/>
  <c r="F165" i="19"/>
  <c r="F154" i="19"/>
  <c r="F149" i="19"/>
  <c r="F138" i="19"/>
  <c r="F133" i="19"/>
  <c r="F122" i="19"/>
  <c r="F117" i="19"/>
  <c r="F106" i="19"/>
  <c r="F101" i="19"/>
  <c r="F90" i="19"/>
  <c r="F85" i="19"/>
  <c r="F74" i="19"/>
  <c r="F69" i="19"/>
  <c r="F58" i="19"/>
  <c r="F53" i="19"/>
  <c r="F42" i="19"/>
  <c r="F37" i="19"/>
  <c r="F26" i="19"/>
  <c r="F21" i="19"/>
  <c r="F183" i="19"/>
  <c r="F180" i="19"/>
  <c r="F175" i="19"/>
  <c r="F172" i="19"/>
  <c r="F167" i="19"/>
  <c r="F164" i="19"/>
  <c r="F159" i="19"/>
  <c r="F156" i="19"/>
  <c r="F151" i="19"/>
  <c r="F148" i="19"/>
  <c r="F143" i="19"/>
  <c r="F140" i="19"/>
  <c r="F135" i="19"/>
  <c r="F132" i="19"/>
  <c r="F127" i="19"/>
  <c r="F124" i="19"/>
  <c r="F119" i="19"/>
  <c r="F116" i="19"/>
  <c r="F111" i="19"/>
  <c r="F108" i="19"/>
  <c r="F103" i="19"/>
  <c r="F100" i="19"/>
  <c r="F95" i="19"/>
  <c r="F92" i="19"/>
  <c r="F87" i="19"/>
  <c r="F84" i="19"/>
  <c r="F79" i="19"/>
  <c r="F76" i="19"/>
  <c r="F71" i="19"/>
  <c r="F68" i="19"/>
  <c r="F63" i="19"/>
  <c r="F60" i="19"/>
  <c r="F55" i="19"/>
  <c r="F52" i="19"/>
  <c r="F47" i="19"/>
  <c r="F44" i="19"/>
  <c r="F39" i="19"/>
  <c r="F36" i="19"/>
  <c r="F31" i="19"/>
  <c r="F28" i="19"/>
  <c r="F23" i="19"/>
  <c r="F20" i="19"/>
  <c r="F15" i="19"/>
  <c r="F182" i="19"/>
  <c r="F177" i="19"/>
  <c r="F174" i="19"/>
  <c r="F169" i="19"/>
  <c r="F166" i="19"/>
  <c r="F161" i="19"/>
  <c r="F158" i="19"/>
  <c r="F153" i="19"/>
  <c r="F150" i="19"/>
  <c r="F145" i="19"/>
  <c r="F142" i="19"/>
  <c r="F137" i="19"/>
  <c r="F134" i="19"/>
  <c r="F129" i="19"/>
  <c r="F126" i="19"/>
  <c r="F121" i="19"/>
  <c r="F118" i="19"/>
  <c r="F113" i="19"/>
  <c r="F110" i="19"/>
  <c r="F105" i="19"/>
  <c r="F102" i="19"/>
  <c r="F97" i="19"/>
  <c r="F94" i="19"/>
  <c r="F89" i="19"/>
  <c r="F86" i="19"/>
  <c r="F81" i="19"/>
  <c r="F78" i="19"/>
  <c r="F73" i="19"/>
  <c r="F70" i="19"/>
  <c r="F65" i="19"/>
  <c r="F62" i="19"/>
  <c r="F57" i="19"/>
  <c r="F54" i="19"/>
  <c r="F49" i="19"/>
  <c r="F46" i="19"/>
  <c r="F41" i="19"/>
  <c r="F38" i="19"/>
  <c r="F33" i="19"/>
  <c r="F30" i="19"/>
  <c r="F25" i="19"/>
  <c r="F22" i="19"/>
  <c r="F17" i="19"/>
  <c r="F14" i="19"/>
  <c r="Y93" i="19"/>
  <c r="P56" i="19"/>
  <c r="W55" i="19"/>
  <c r="P42" i="19"/>
  <c r="W41" i="19"/>
  <c r="P30" i="19"/>
  <c r="W29" i="19"/>
  <c r="P22" i="19"/>
  <c r="W21" i="19"/>
  <c r="O122" i="19"/>
  <c r="AA121" i="19"/>
  <c r="O116" i="19"/>
  <c r="AA116" i="19" s="1"/>
  <c r="AA115" i="19"/>
  <c r="O60" i="19"/>
  <c r="AA60" i="19" s="1"/>
  <c r="AA59" i="19"/>
  <c r="O41" i="19"/>
  <c r="AA40" i="19"/>
  <c r="Y101" i="19"/>
  <c r="V101" i="19"/>
  <c r="Z101" i="19"/>
  <c r="V176" i="19"/>
  <c r="Z176" i="19"/>
  <c r="Y33" i="19"/>
  <c r="V144" i="19"/>
  <c r="Y178" i="19"/>
  <c r="Y123" i="19"/>
  <c r="Y25" i="19"/>
  <c r="M82" i="19"/>
  <c r="X82" i="19" s="1"/>
  <c r="X81" i="19"/>
  <c r="Y162" i="19"/>
  <c r="Y102" i="19"/>
  <c r="P178" i="19"/>
  <c r="W177" i="19"/>
  <c r="O158" i="19"/>
  <c r="AA157" i="19"/>
  <c r="Y157" i="19"/>
  <c r="Y141" i="19"/>
  <c r="Z141" i="19" s="1"/>
  <c r="N36" i="19"/>
  <c r="M64" i="19"/>
  <c r="X63" i="19"/>
  <c r="M48" i="19"/>
  <c r="X48" i="19" s="1"/>
  <c r="X47" i="19"/>
  <c r="V161" i="19"/>
  <c r="V160" i="19"/>
  <c r="Y137" i="19"/>
  <c r="Y73" i="19"/>
  <c r="Y21" i="19"/>
  <c r="P170" i="19"/>
  <c r="W169" i="19"/>
  <c r="P158" i="19"/>
  <c r="W157" i="19"/>
  <c r="P134" i="19"/>
  <c r="W133" i="19"/>
  <c r="P106" i="19"/>
  <c r="W105" i="19"/>
  <c r="P82" i="19"/>
  <c r="W82" i="19" s="1"/>
  <c r="W81" i="19"/>
  <c r="O170" i="19"/>
  <c r="AA169" i="19"/>
  <c r="O94" i="19"/>
  <c r="AA94" i="19" s="1"/>
  <c r="AA93" i="19"/>
  <c r="N180" i="19"/>
  <c r="N44" i="19"/>
  <c r="Y142" i="19"/>
  <c r="O106" i="19"/>
  <c r="AA106" i="19" s="1"/>
  <c r="AA105" i="19"/>
  <c r="O30" i="19"/>
  <c r="AA29" i="19"/>
  <c r="Y89" i="19"/>
  <c r="Y57" i="19"/>
  <c r="M172" i="19"/>
  <c r="X171" i="19"/>
  <c r="M124" i="19"/>
  <c r="X124" i="19" s="1"/>
  <c r="X123" i="19"/>
  <c r="M116" i="19"/>
  <c r="X116" i="19" s="1"/>
  <c r="X115" i="19"/>
  <c r="M92" i="19"/>
  <c r="X91" i="19"/>
  <c r="N182" i="19"/>
  <c r="N174" i="19"/>
  <c r="N158" i="19"/>
  <c r="N154" i="19"/>
  <c r="N150" i="19"/>
  <c r="N146" i="19"/>
  <c r="J142" i="19"/>
  <c r="J143" i="19" s="1"/>
  <c r="J144" i="19" s="1"/>
  <c r="N138" i="19"/>
  <c r="N134" i="19"/>
  <c r="N130" i="19"/>
  <c r="N126" i="19"/>
  <c r="N122" i="19"/>
  <c r="N118" i="19"/>
  <c r="J118" i="19"/>
  <c r="N114" i="19"/>
  <c r="J102" i="19"/>
  <c r="N94" i="19"/>
  <c r="N90" i="19"/>
  <c r="N86" i="19"/>
  <c r="K82" i="19"/>
  <c r="N78" i="19"/>
  <c r="N74" i="19"/>
  <c r="N70" i="19"/>
  <c r="S70" i="19"/>
  <c r="S71" i="19" s="1"/>
  <c r="S72" i="19" s="1"/>
  <c r="S73" i="19" s="1"/>
  <c r="S74" i="19" s="1"/>
  <c r="S75" i="19" s="1"/>
  <c r="S76" i="19" s="1"/>
  <c r="S77" i="19" s="1"/>
  <c r="S78" i="19" s="1"/>
  <c r="S79" i="19" s="1"/>
  <c r="S80" i="19" s="1"/>
  <c r="J66" i="19"/>
  <c r="J67" i="19" s="1"/>
  <c r="J68" i="19" s="1"/>
  <c r="N62" i="19"/>
  <c r="N58" i="19"/>
  <c r="N54" i="19"/>
  <c r="S54" i="19"/>
  <c r="S55" i="19" s="1"/>
  <c r="S56" i="19" s="1"/>
  <c r="S57" i="19" s="1"/>
  <c r="S58" i="19" s="1"/>
  <c r="S59" i="19" s="1"/>
  <c r="S60" i="19" s="1"/>
  <c r="S61" i="19" s="1"/>
  <c r="S62" i="19" s="1"/>
  <c r="S63" i="19" s="1"/>
  <c r="N50" i="19"/>
  <c r="J50" i="19"/>
  <c r="J34" i="19"/>
  <c r="S34" i="19"/>
  <c r="S35" i="19" s="1"/>
  <c r="S36" i="19" s="1"/>
  <c r="S37" i="19" s="1"/>
  <c r="S38" i="19" s="1"/>
  <c r="S39" i="19" s="1"/>
  <c r="S40" i="19" s="1"/>
  <c r="S41" i="19" s="1"/>
  <c r="S42" i="19" s="1"/>
  <c r="S43" i="19" s="1"/>
  <c r="S44" i="19" s="1"/>
  <c r="S45" i="19" s="1"/>
  <c r="S46" i="19" s="1"/>
  <c r="N26" i="19"/>
  <c r="N22" i="19"/>
  <c r="N18" i="19"/>
  <c r="S18" i="19"/>
  <c r="S19" i="19" s="1"/>
  <c r="S20" i="19" s="1"/>
  <c r="S21" i="19" s="1"/>
  <c r="S22" i="19" s="1"/>
  <c r="S23" i="19" s="1"/>
  <c r="S24" i="19" s="1"/>
  <c r="S25" i="19" s="1"/>
  <c r="S26" i="19" s="1"/>
  <c r="S27" i="19" s="1"/>
  <c r="S28" i="19" s="1"/>
  <c r="S29" i="19" s="1"/>
  <c r="J14" i="19"/>
  <c r="K14" i="19"/>
  <c r="N14" i="19"/>
  <c r="J161" i="19"/>
  <c r="J162" i="19" s="1"/>
  <c r="J145" i="19"/>
  <c r="J146" i="19" s="1"/>
  <c r="J85" i="19"/>
  <c r="J86" i="19" s="1"/>
  <c r="J69" i="19"/>
  <c r="J17" i="19"/>
  <c r="J18" i="19" s="1"/>
  <c r="AU6" i="19"/>
  <c r="AR3" i="19"/>
  <c r="AJ4" i="19"/>
  <c r="AC7" i="19"/>
  <c r="AK7" i="19" s="1"/>
  <c r="AD6" i="19"/>
  <c r="AF5" i="19"/>
  <c r="AS7" i="19"/>
  <c r="AS8" i="19" s="1"/>
  <c r="BG3" i="19"/>
  <c r="BC3" i="19"/>
  <c r="BA3" i="19"/>
  <c r="AX3" i="19"/>
  <c r="AU3" i="19"/>
  <c r="AS3" i="19"/>
  <c r="S2" i="21"/>
  <c r="T2" i="21" s="1"/>
  <c r="S5" i="21"/>
  <c r="X4" i="21"/>
  <c r="S4" i="21"/>
  <c r="S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X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T9" i="22" a="1"/>
  <c r="T9" i="22" l="1"/>
  <c r="V9" i="22" s="1"/>
  <c r="X9" i="22" s="1"/>
  <c r="S46" i="21"/>
  <c r="T46" i="21" s="1"/>
  <c r="V46" i="21" s="1"/>
  <c r="AI46" i="21" s="1"/>
  <c r="V27" i="21"/>
  <c r="Q47" i="21"/>
  <c r="AF31" i="21"/>
  <c r="V13" i="21"/>
  <c r="J147" i="19"/>
  <c r="J87" i="19"/>
  <c r="J19" i="19"/>
  <c r="J163" i="19"/>
  <c r="BA40" i="19"/>
  <c r="BA56" i="19"/>
  <c r="BA60" i="19"/>
  <c r="BA72" i="19"/>
  <c r="BA76" i="19"/>
  <c r="BA104" i="19"/>
  <c r="BA120" i="19"/>
  <c r="BA124" i="19"/>
  <c r="BA140" i="19"/>
  <c r="BA152" i="19"/>
  <c r="BA168" i="19"/>
  <c r="BA17" i="19"/>
  <c r="BA33" i="19"/>
  <c r="BA49" i="19"/>
  <c r="BA61" i="19"/>
  <c r="BA77" i="19"/>
  <c r="BA93" i="19"/>
  <c r="BA109" i="19"/>
  <c r="BA113" i="19"/>
  <c r="BA125" i="19"/>
  <c r="BA129" i="19"/>
  <c r="BA141" i="19"/>
  <c r="BA145" i="19"/>
  <c r="BA157" i="19"/>
  <c r="BA161" i="19"/>
  <c r="BA38" i="19"/>
  <c r="BA54" i="19"/>
  <c r="BA58" i="19"/>
  <c r="BA70" i="19"/>
  <c r="BA74" i="19"/>
  <c r="BA86" i="19"/>
  <c r="BA90" i="19"/>
  <c r="BA102" i="19"/>
  <c r="BA106" i="19"/>
  <c r="BA138" i="19"/>
  <c r="BA150" i="19"/>
  <c r="BA154" i="19"/>
  <c r="BA166" i="19"/>
  <c r="BA170" i="19"/>
  <c r="BA139" i="19"/>
  <c r="BA15" i="19"/>
  <c r="BA143" i="19"/>
  <c r="BA39" i="19"/>
  <c r="BA167" i="19"/>
  <c r="BA51" i="19"/>
  <c r="BA67" i="19"/>
  <c r="BA55" i="19"/>
  <c r="V51" i="19"/>
  <c r="Z51" i="19"/>
  <c r="AF51" i="19" s="1"/>
  <c r="AU18" i="19"/>
  <c r="AU22" i="19"/>
  <c r="AU34" i="19"/>
  <c r="AU38" i="19"/>
  <c r="AU50" i="19"/>
  <c r="AU54" i="19"/>
  <c r="AU66" i="19"/>
  <c r="AU70" i="19"/>
  <c r="AU86" i="19"/>
  <c r="AU102" i="19"/>
  <c r="AU114" i="19"/>
  <c r="AU118" i="19"/>
  <c r="AU130" i="19"/>
  <c r="AU134" i="19"/>
  <c r="AU146" i="19"/>
  <c r="AU150" i="19"/>
  <c r="AU162" i="19"/>
  <c r="AU166" i="19"/>
  <c r="AU23" i="19"/>
  <c r="AU27" i="19"/>
  <c r="AU39" i="19"/>
  <c r="AU55" i="19"/>
  <c r="AU59" i="19"/>
  <c r="AU71" i="19"/>
  <c r="AU75" i="19"/>
  <c r="AU87" i="19"/>
  <c r="AU91" i="19"/>
  <c r="AU103" i="19"/>
  <c r="AU119" i="19"/>
  <c r="AU151" i="19"/>
  <c r="AU155" i="19"/>
  <c r="AU167" i="19"/>
  <c r="AU32" i="19"/>
  <c r="AU40" i="19"/>
  <c r="AU72" i="19"/>
  <c r="AU96" i="19"/>
  <c r="AU104" i="19"/>
  <c r="AU128" i="19"/>
  <c r="AU160" i="19"/>
  <c r="AU168" i="19"/>
  <c r="AU17" i="19"/>
  <c r="AU25" i="19"/>
  <c r="AU49" i="19"/>
  <c r="AU89" i="19"/>
  <c r="AU113" i="19"/>
  <c r="AU121" i="19"/>
  <c r="AU145" i="19"/>
  <c r="AU153" i="19"/>
  <c r="AU36" i="19"/>
  <c r="AU68" i="19"/>
  <c r="AU76" i="19"/>
  <c r="AU100" i="19"/>
  <c r="AU140" i="19"/>
  <c r="AU164" i="19"/>
  <c r="AU45" i="19"/>
  <c r="AU77" i="19"/>
  <c r="AU21" i="19"/>
  <c r="AU117" i="19"/>
  <c r="AU149" i="19"/>
  <c r="AU61" i="19"/>
  <c r="AU93" i="19"/>
  <c r="AU37" i="19"/>
  <c r="AU69" i="19"/>
  <c r="AU165" i="19"/>
  <c r="AF66" i="19"/>
  <c r="AF142" i="19"/>
  <c r="AF15" i="19"/>
  <c r="AF83" i="19"/>
  <c r="AF143" i="19"/>
  <c r="AF84" i="19"/>
  <c r="AF100" i="19"/>
  <c r="AF140" i="19"/>
  <c r="AF85" i="19"/>
  <c r="AF101" i="19"/>
  <c r="AF117" i="19"/>
  <c r="AF133" i="19"/>
  <c r="AF141" i="19"/>
  <c r="AF16" i="19"/>
  <c r="AF32" i="19"/>
  <c r="AF160" i="19"/>
  <c r="AF176" i="19"/>
  <c r="AF17" i="19"/>
  <c r="AF49" i="19"/>
  <c r="AF177" i="19"/>
  <c r="AF33" i="19"/>
  <c r="AF161" i="19"/>
  <c r="BD3" i="19"/>
  <c r="AR15" i="19"/>
  <c r="AR19" i="19"/>
  <c r="AR23" i="19"/>
  <c r="AR27" i="19"/>
  <c r="AR35" i="19"/>
  <c r="AR39" i="19"/>
  <c r="AR47" i="19"/>
  <c r="AR51" i="19"/>
  <c r="AR14" i="19"/>
  <c r="AR20" i="19"/>
  <c r="AR25" i="19"/>
  <c r="AR36" i="19"/>
  <c r="AR41" i="19"/>
  <c r="AR46" i="19"/>
  <c r="AR52" i="19"/>
  <c r="AR56" i="19"/>
  <c r="AR60" i="19"/>
  <c r="AR64" i="19"/>
  <c r="AR68" i="19"/>
  <c r="AR72" i="19"/>
  <c r="AR76" i="19"/>
  <c r="AR80" i="19"/>
  <c r="AR84" i="19"/>
  <c r="AR88" i="19"/>
  <c r="AR92" i="19"/>
  <c r="AR96" i="19"/>
  <c r="AR100" i="19"/>
  <c r="AR104" i="19"/>
  <c r="AR112" i="19"/>
  <c r="AR116" i="19"/>
  <c r="AR120" i="19"/>
  <c r="AR124" i="19"/>
  <c r="AR128" i="19"/>
  <c r="AR132" i="19"/>
  <c r="AR140" i="19"/>
  <c r="AR144" i="19"/>
  <c r="AR148" i="19"/>
  <c r="AR152" i="19"/>
  <c r="AR156" i="19"/>
  <c r="AR160" i="19"/>
  <c r="AR164" i="19"/>
  <c r="AR168" i="19"/>
  <c r="AR176" i="19"/>
  <c r="AR16" i="19"/>
  <c r="AR21" i="19"/>
  <c r="AR26" i="19"/>
  <c r="AR32" i="19"/>
  <c r="AR37" i="19"/>
  <c r="AR48" i="19"/>
  <c r="AR53" i="19"/>
  <c r="AR61" i="19"/>
  <c r="AR65" i="19"/>
  <c r="AR69" i="19"/>
  <c r="AR73" i="19"/>
  <c r="AR77" i="19"/>
  <c r="AR81" i="19"/>
  <c r="AR85" i="19"/>
  <c r="AR89" i="19"/>
  <c r="AR93" i="19"/>
  <c r="AR97" i="19"/>
  <c r="AR101" i="19"/>
  <c r="AR105" i="19"/>
  <c r="AR109" i="19"/>
  <c r="AR113" i="19"/>
  <c r="AR117" i="19"/>
  <c r="AR121" i="19"/>
  <c r="AR125" i="19"/>
  <c r="AR129" i="19"/>
  <c r="AR133" i="19"/>
  <c r="AR141" i="19"/>
  <c r="AR145" i="19"/>
  <c r="AR149" i="19"/>
  <c r="AR153" i="19"/>
  <c r="AR157" i="19"/>
  <c r="AR161" i="19"/>
  <c r="AR165" i="19"/>
  <c r="AR169" i="19"/>
  <c r="AR173" i="19"/>
  <c r="AR177" i="19"/>
  <c r="AR181" i="19"/>
  <c r="AR17" i="19"/>
  <c r="AR22" i="19"/>
  <c r="AR28" i="19"/>
  <c r="AR33" i="19"/>
  <c r="AR38" i="19"/>
  <c r="AR49" i="19"/>
  <c r="AR54" i="19"/>
  <c r="AR58" i="19"/>
  <c r="AR62" i="19"/>
  <c r="AR66" i="19"/>
  <c r="AR70" i="19"/>
  <c r="AR74" i="19"/>
  <c r="AR78" i="19"/>
  <c r="AR82" i="19"/>
  <c r="AR86" i="19"/>
  <c r="AR90" i="19"/>
  <c r="AR94" i="19"/>
  <c r="AR98" i="19"/>
  <c r="AR102" i="19"/>
  <c r="AR106" i="19"/>
  <c r="AR110" i="19"/>
  <c r="AR114" i="19"/>
  <c r="AR118" i="19"/>
  <c r="AR122" i="19"/>
  <c r="AR126" i="19"/>
  <c r="AR130" i="19"/>
  <c r="AR134" i="19"/>
  <c r="AR138" i="19"/>
  <c r="AR142" i="19"/>
  <c r="AR146" i="19"/>
  <c r="AR150" i="19"/>
  <c r="AR154" i="19"/>
  <c r="AR162" i="19"/>
  <c r="AR166" i="19"/>
  <c r="AR174" i="19"/>
  <c r="AR182" i="19"/>
  <c r="AR18" i="19"/>
  <c r="AR40" i="19"/>
  <c r="AR59" i="19"/>
  <c r="AR75" i="19"/>
  <c r="AR91" i="19"/>
  <c r="AR123" i="19"/>
  <c r="AR139" i="19"/>
  <c r="AR155" i="19"/>
  <c r="AR24" i="19"/>
  <c r="AR45" i="19"/>
  <c r="AR63" i="19"/>
  <c r="AR79" i="19"/>
  <c r="AR95" i="19"/>
  <c r="AR111" i="19"/>
  <c r="AR127" i="19"/>
  <c r="AR143" i="19"/>
  <c r="AR175" i="19"/>
  <c r="AR29" i="19"/>
  <c r="AR50" i="19"/>
  <c r="AR67" i="19"/>
  <c r="AR83" i="19"/>
  <c r="AR99" i="19"/>
  <c r="AR115" i="19"/>
  <c r="AR131" i="19"/>
  <c r="AR147" i="19"/>
  <c r="AR163" i="19"/>
  <c r="AR34" i="19"/>
  <c r="AR103" i="19"/>
  <c r="AR167" i="19"/>
  <c r="AR55" i="19"/>
  <c r="AR119" i="19"/>
  <c r="AR183" i="19"/>
  <c r="AR71" i="19"/>
  <c r="AR87" i="19"/>
  <c r="AR151" i="19"/>
  <c r="V34" i="19"/>
  <c r="J103" i="19"/>
  <c r="V119" i="19"/>
  <c r="Z119" i="19"/>
  <c r="AJ126" i="19"/>
  <c r="BA134" i="19"/>
  <c r="Y134" i="19"/>
  <c r="Z134" i="19" s="1"/>
  <c r="AF134" i="19" s="1"/>
  <c r="V178" i="19"/>
  <c r="AD178" i="19" s="1"/>
  <c r="Z178" i="19"/>
  <c r="AF178" i="19" s="1"/>
  <c r="M93" i="19"/>
  <c r="X93" i="19" s="1"/>
  <c r="X92" i="19"/>
  <c r="AC92" i="19" s="1"/>
  <c r="P135" i="19"/>
  <c r="W134" i="19"/>
  <c r="P171" i="19"/>
  <c r="W170" i="19"/>
  <c r="AR170" i="19" s="1"/>
  <c r="M65" i="19"/>
  <c r="X65" i="19" s="1"/>
  <c r="AS65" i="19" s="1"/>
  <c r="X64" i="19"/>
  <c r="V145" i="19"/>
  <c r="AR8" i="19"/>
  <c r="AW3" i="19"/>
  <c r="BB3" i="19"/>
  <c r="BB6" i="19"/>
  <c r="AD14" i="19"/>
  <c r="AD18" i="19"/>
  <c r="AD22" i="19"/>
  <c r="AD26" i="19"/>
  <c r="AD34" i="19"/>
  <c r="AD38" i="19"/>
  <c r="AD46" i="19"/>
  <c r="AD50" i="19"/>
  <c r="AD54" i="19"/>
  <c r="AD58" i="19"/>
  <c r="AD62" i="19"/>
  <c r="AD66" i="19"/>
  <c r="AD70" i="19"/>
  <c r="AD74" i="19"/>
  <c r="AD78" i="19"/>
  <c r="AD17" i="19"/>
  <c r="AD23" i="19"/>
  <c r="AD28" i="19"/>
  <c r="AD33" i="19"/>
  <c r="AD39" i="19"/>
  <c r="AD44" i="19"/>
  <c r="AD49" i="19"/>
  <c r="AD55" i="19"/>
  <c r="AD60" i="19"/>
  <c r="AD71" i="19"/>
  <c r="AD76" i="19"/>
  <c r="AD86" i="19"/>
  <c r="AD90" i="19"/>
  <c r="AD94" i="19"/>
  <c r="AD102" i="19"/>
  <c r="AD106" i="19"/>
  <c r="AD110" i="19"/>
  <c r="AD114" i="19"/>
  <c r="AD118" i="19"/>
  <c r="AD122" i="19"/>
  <c r="AD126" i="19"/>
  <c r="AD130" i="19"/>
  <c r="AD134" i="19"/>
  <c r="AD142" i="19"/>
  <c r="AD146" i="19"/>
  <c r="AD150" i="19"/>
  <c r="AD154" i="19"/>
  <c r="AD162" i="19"/>
  <c r="AD166" i="19"/>
  <c r="AD19" i="19"/>
  <c r="AD24" i="19"/>
  <c r="AD29" i="19"/>
  <c r="AD35" i="19"/>
  <c r="AD40" i="19"/>
  <c r="AD45" i="19"/>
  <c r="AD51" i="19"/>
  <c r="AD56" i="19"/>
  <c r="AD61" i="19"/>
  <c r="AD67" i="19"/>
  <c r="AD72" i="19"/>
  <c r="AD77" i="19"/>
  <c r="AD83" i="19"/>
  <c r="AD87" i="19"/>
  <c r="AD91" i="19"/>
  <c r="AD95" i="19"/>
  <c r="AD103" i="19"/>
  <c r="AD107" i="19"/>
  <c r="AD111" i="19"/>
  <c r="AD119" i="19"/>
  <c r="AD127" i="19"/>
  <c r="AD143" i="19"/>
  <c r="AD147" i="19"/>
  <c r="AD151" i="19"/>
  <c r="AD155" i="19"/>
  <c r="AD163" i="19"/>
  <c r="AD167" i="19"/>
  <c r="AD15" i="19"/>
  <c r="AD25" i="19"/>
  <c r="AD36" i="19"/>
  <c r="AD57" i="19"/>
  <c r="AD68" i="19"/>
  <c r="AD79" i="19"/>
  <c r="AD88" i="19"/>
  <c r="AD96" i="19"/>
  <c r="AD104" i="19"/>
  <c r="AD112" i="19"/>
  <c r="AD120" i="19"/>
  <c r="AD128" i="19"/>
  <c r="AD144" i="19"/>
  <c r="AD152" i="19"/>
  <c r="AD160" i="19"/>
  <c r="AD168" i="19"/>
  <c r="AD176" i="19"/>
  <c r="AD16" i="19"/>
  <c r="AD27" i="19"/>
  <c r="AD37" i="19"/>
  <c r="AD59" i="19"/>
  <c r="AD69" i="19"/>
  <c r="AD80" i="19"/>
  <c r="AD89" i="19"/>
  <c r="AD97" i="19"/>
  <c r="AD105" i="19"/>
  <c r="AD113" i="19"/>
  <c r="AD121" i="19"/>
  <c r="AD129" i="19"/>
  <c r="AD145" i="19"/>
  <c r="AD153" i="19"/>
  <c r="AD161" i="19"/>
  <c r="AD169" i="19"/>
  <c r="AD177" i="19"/>
  <c r="AD20" i="19"/>
  <c r="AD52" i="19"/>
  <c r="AD63" i="19"/>
  <c r="AD73" i="19"/>
  <c r="AD84" i="19"/>
  <c r="AD92" i="19"/>
  <c r="AD100" i="19"/>
  <c r="AD108" i="19"/>
  <c r="AD124" i="19"/>
  <c r="AD140" i="19"/>
  <c r="AD148" i="19"/>
  <c r="AD164" i="19"/>
  <c r="AD172" i="19"/>
  <c r="AD21" i="19"/>
  <c r="AD101" i="19"/>
  <c r="AD133" i="19"/>
  <c r="AD165" i="19"/>
  <c r="AD32" i="19"/>
  <c r="AD75" i="19"/>
  <c r="AD109" i="19"/>
  <c r="AD141" i="19"/>
  <c r="AD173" i="19"/>
  <c r="AD85" i="19"/>
  <c r="AD117" i="19"/>
  <c r="AD149" i="19"/>
  <c r="AD53" i="19"/>
  <c r="AD93" i="19"/>
  <c r="AD125" i="19"/>
  <c r="N23" i="19"/>
  <c r="AJ22" i="19"/>
  <c r="Y22" i="19"/>
  <c r="N27" i="19"/>
  <c r="AJ26" i="19"/>
  <c r="Y26" i="19"/>
  <c r="J35" i="19"/>
  <c r="J51" i="19"/>
  <c r="V66" i="19"/>
  <c r="Z89" i="19"/>
  <c r="AF89" i="19" s="1"/>
  <c r="V89" i="19"/>
  <c r="N95" i="19"/>
  <c r="Y94" i="19"/>
  <c r="N115" i="19"/>
  <c r="BA118" i="19"/>
  <c r="Y118" i="19"/>
  <c r="V118" i="19"/>
  <c r="Z118" i="19"/>
  <c r="AF118" i="19" s="1"/>
  <c r="N147" i="19"/>
  <c r="V146" i="19"/>
  <c r="N151" i="19"/>
  <c r="N183" i="19"/>
  <c r="BA182" i="19"/>
  <c r="Y182" i="19"/>
  <c r="N45" i="19"/>
  <c r="O159" i="19"/>
  <c r="AA159" i="19" s="1"/>
  <c r="AA158" i="19"/>
  <c r="Y103" i="19"/>
  <c r="Y179" i="19"/>
  <c r="O42" i="19"/>
  <c r="AA41" i="19"/>
  <c r="AD41" i="19" s="1"/>
  <c r="P23" i="19"/>
  <c r="W23" i="19" s="1"/>
  <c r="W22" i="19"/>
  <c r="AS22" i="19" s="1"/>
  <c r="P43" i="19"/>
  <c r="W42" i="19"/>
  <c r="BA42" i="19" s="1"/>
  <c r="N19" i="19"/>
  <c r="Y18" i="19"/>
  <c r="Z18" i="19" s="1"/>
  <c r="AF18" i="19" s="1"/>
  <c r="V18" i="19"/>
  <c r="Y50" i="19"/>
  <c r="V50" i="19"/>
  <c r="Z50" i="19"/>
  <c r="Y54" i="19"/>
  <c r="N63" i="19"/>
  <c r="AJ62" i="19"/>
  <c r="Y62" i="19"/>
  <c r="N71" i="19"/>
  <c r="Y70" i="19"/>
  <c r="N75" i="19"/>
  <c r="Y74" i="19"/>
  <c r="N79" i="19"/>
  <c r="AJ78" i="19"/>
  <c r="V135" i="19"/>
  <c r="AD135" i="19" s="1"/>
  <c r="Z135" i="19"/>
  <c r="AF135" i="19" s="1"/>
  <c r="N159" i="19"/>
  <c r="Y158" i="19"/>
  <c r="Z158" i="19" s="1"/>
  <c r="AF158" i="19" s="1"/>
  <c r="V158" i="19"/>
  <c r="M173" i="19"/>
  <c r="X172" i="19"/>
  <c r="O31" i="19"/>
  <c r="AA31" i="19" s="1"/>
  <c r="AA30" i="19"/>
  <c r="Y143" i="19"/>
  <c r="N181" i="19"/>
  <c r="Y180" i="19"/>
  <c r="O171" i="19"/>
  <c r="AA171" i="19" s="1"/>
  <c r="AD171" i="19" s="1"/>
  <c r="AA170" i="19"/>
  <c r="AD170" i="19" s="1"/>
  <c r="P107" i="19"/>
  <c r="W106" i="19"/>
  <c r="P159" i="19"/>
  <c r="W159" i="19" s="1"/>
  <c r="AR159" i="19" s="1"/>
  <c r="W158" i="19"/>
  <c r="AS158" i="19" s="1"/>
  <c r="Y34" i="19"/>
  <c r="Z34" i="19" s="1"/>
  <c r="AF34" i="19" s="1"/>
  <c r="AS14" i="19"/>
  <c r="AS18" i="19"/>
  <c r="AS26" i="19"/>
  <c r="AS34" i="19"/>
  <c r="AS38" i="19"/>
  <c r="AS46" i="19"/>
  <c r="AS50" i="19"/>
  <c r="AS54" i="19"/>
  <c r="AS58" i="19"/>
  <c r="AS62" i="19"/>
  <c r="AS66" i="19"/>
  <c r="AS70" i="19"/>
  <c r="AS74" i="19"/>
  <c r="AS78" i="19"/>
  <c r="AS82" i="19"/>
  <c r="AS86" i="19"/>
  <c r="AS90" i="19"/>
  <c r="AS94" i="19"/>
  <c r="AS98" i="19"/>
  <c r="AS102" i="19"/>
  <c r="AS106" i="19"/>
  <c r="AS110" i="19"/>
  <c r="AS114" i="19"/>
  <c r="AS118" i="19"/>
  <c r="AS122" i="19"/>
  <c r="AS126" i="19"/>
  <c r="AS130" i="19"/>
  <c r="AS134" i="19"/>
  <c r="AS138" i="19"/>
  <c r="AS142" i="19"/>
  <c r="AS146" i="19"/>
  <c r="AS150" i="19"/>
  <c r="AS154" i="19"/>
  <c r="AS162" i="19"/>
  <c r="AS166" i="19"/>
  <c r="AS182" i="19"/>
  <c r="AS15" i="19"/>
  <c r="AS19" i="19"/>
  <c r="AS23" i="19"/>
  <c r="AS27" i="19"/>
  <c r="AS35" i="19"/>
  <c r="AS39" i="19"/>
  <c r="AS47" i="19"/>
  <c r="AS51" i="19"/>
  <c r="AS55" i="19"/>
  <c r="AS59" i="19"/>
  <c r="AS63" i="19"/>
  <c r="AS67" i="19"/>
  <c r="AS71" i="19"/>
  <c r="AS75" i="19"/>
  <c r="AS79" i="19"/>
  <c r="AS83" i="19"/>
  <c r="AS87" i="19"/>
  <c r="AS91" i="19"/>
  <c r="AS95" i="19"/>
  <c r="AS99" i="19"/>
  <c r="AS103" i="19"/>
  <c r="AS111" i="19"/>
  <c r="AS115" i="19"/>
  <c r="AS119" i="19"/>
  <c r="AS123" i="19"/>
  <c r="AS127" i="19"/>
  <c r="AS131" i="19"/>
  <c r="AS139" i="19"/>
  <c r="AS143" i="19"/>
  <c r="AS147" i="19"/>
  <c r="AS151" i="19"/>
  <c r="AS155" i="19"/>
  <c r="AS163" i="19"/>
  <c r="AS167" i="19"/>
  <c r="AS183" i="19"/>
  <c r="AS16" i="19"/>
  <c r="AS20" i="19"/>
  <c r="AS24" i="19"/>
  <c r="AS28" i="19"/>
  <c r="AS32" i="19"/>
  <c r="AS36" i="19"/>
  <c r="AS40" i="19"/>
  <c r="AS48" i="19"/>
  <c r="AS52" i="19"/>
  <c r="AS56" i="19"/>
  <c r="AS60" i="19"/>
  <c r="AS64" i="19"/>
  <c r="AS68" i="19"/>
  <c r="AS72" i="19"/>
  <c r="AS76" i="19"/>
  <c r="AS80" i="19"/>
  <c r="AS84" i="19"/>
  <c r="AS88" i="19"/>
  <c r="AS92" i="19"/>
  <c r="AS96" i="19"/>
  <c r="AS100" i="19"/>
  <c r="AS104" i="19"/>
  <c r="AS112" i="19"/>
  <c r="AS116" i="19"/>
  <c r="AS120" i="19"/>
  <c r="AS124" i="19"/>
  <c r="AS128" i="19"/>
  <c r="AS132" i="19"/>
  <c r="AS140" i="19"/>
  <c r="AS144" i="19"/>
  <c r="AS148" i="19"/>
  <c r="AS152" i="19"/>
  <c r="AS156" i="19"/>
  <c r="AS160" i="19"/>
  <c r="AS164" i="19"/>
  <c r="AS168" i="19"/>
  <c r="AS17" i="19"/>
  <c r="AS33" i="19"/>
  <c r="AS49" i="19"/>
  <c r="AS81" i="19"/>
  <c r="AS97" i="19"/>
  <c r="AS113" i="19"/>
  <c r="AS129" i="19"/>
  <c r="AS145" i="19"/>
  <c r="AS161" i="19"/>
  <c r="AS21" i="19"/>
  <c r="AS37" i="19"/>
  <c r="AS53" i="19"/>
  <c r="AS69" i="19"/>
  <c r="AS85" i="19"/>
  <c r="AS101" i="19"/>
  <c r="AS117" i="19"/>
  <c r="AS133" i="19"/>
  <c r="AS149" i="19"/>
  <c r="AS165" i="19"/>
  <c r="AS181" i="19"/>
  <c r="AS25" i="19"/>
  <c r="AS41" i="19"/>
  <c r="AS73" i="19"/>
  <c r="AS89" i="19"/>
  <c r="AS105" i="19"/>
  <c r="AS121" i="19"/>
  <c r="AS153" i="19"/>
  <c r="AS169" i="19"/>
  <c r="AS61" i="19"/>
  <c r="AS125" i="19"/>
  <c r="AS77" i="19"/>
  <c r="AS141" i="19"/>
  <c r="AS29" i="19"/>
  <c r="AS93" i="19"/>
  <c r="AS157" i="19"/>
  <c r="AS45" i="19"/>
  <c r="AS109" i="19"/>
  <c r="AY7" i="19"/>
  <c r="AC15" i="19"/>
  <c r="AC16" i="19"/>
  <c r="AC20" i="19"/>
  <c r="AC24" i="19"/>
  <c r="AC28" i="19"/>
  <c r="AC32" i="19"/>
  <c r="AC36" i="19"/>
  <c r="AC40" i="19"/>
  <c r="AC44" i="19"/>
  <c r="AC48" i="19"/>
  <c r="AC52" i="19"/>
  <c r="AC56" i="19"/>
  <c r="AC60" i="19"/>
  <c r="AC64" i="19"/>
  <c r="AC68" i="19"/>
  <c r="AC72" i="19"/>
  <c r="AC76" i="19"/>
  <c r="AC80" i="19"/>
  <c r="AC84" i="19"/>
  <c r="AC88" i="19"/>
  <c r="AC96" i="19"/>
  <c r="AC100" i="19"/>
  <c r="AC104" i="19"/>
  <c r="AC108" i="19"/>
  <c r="AC112" i="19"/>
  <c r="AC116" i="19"/>
  <c r="AC120" i="19"/>
  <c r="AC124" i="19"/>
  <c r="AC128" i="19"/>
  <c r="AC132" i="19"/>
  <c r="AC136" i="19"/>
  <c r="AC140" i="19"/>
  <c r="AC144" i="19"/>
  <c r="AC148" i="19"/>
  <c r="AC152" i="19"/>
  <c r="AC156" i="19"/>
  <c r="AC160" i="19"/>
  <c r="AC164" i="19"/>
  <c r="AC168" i="19"/>
  <c r="AC172" i="19"/>
  <c r="AC180" i="19"/>
  <c r="AC17" i="19"/>
  <c r="AC22" i="19"/>
  <c r="AC27" i="19"/>
  <c r="AC33" i="19"/>
  <c r="AC38" i="19"/>
  <c r="AC43" i="19"/>
  <c r="AC49" i="19"/>
  <c r="AC54" i="19"/>
  <c r="AC59" i="19"/>
  <c r="AC70" i="19"/>
  <c r="AC75" i="19"/>
  <c r="AC81" i="19"/>
  <c r="AC86" i="19"/>
  <c r="AC91" i="19"/>
  <c r="AC97" i="19"/>
  <c r="AC102" i="19"/>
  <c r="AC107" i="19"/>
  <c r="AC113" i="19"/>
  <c r="AC118" i="19"/>
  <c r="AC123" i="19"/>
  <c r="AC129" i="19"/>
  <c r="AC134" i="19"/>
  <c r="AC139" i="19"/>
  <c r="AC145" i="19"/>
  <c r="AC150" i="19"/>
  <c r="AC155" i="19"/>
  <c r="AC161" i="19"/>
  <c r="AC166" i="19"/>
  <c r="AC171" i="19"/>
  <c r="AC182" i="19"/>
  <c r="AC18" i="19"/>
  <c r="AC23" i="19"/>
  <c r="AC29" i="19"/>
  <c r="AC34" i="19"/>
  <c r="AC39" i="19"/>
  <c r="AC45" i="19"/>
  <c r="AC50" i="19"/>
  <c r="AC55" i="19"/>
  <c r="AC61" i="19"/>
  <c r="AC66" i="19"/>
  <c r="AC71" i="19"/>
  <c r="AC77" i="19"/>
  <c r="AC82" i="19"/>
  <c r="AC87" i="19"/>
  <c r="AC93" i="19"/>
  <c r="AC98" i="19"/>
  <c r="AC103" i="19"/>
  <c r="AC109" i="19"/>
  <c r="AC114" i="19"/>
  <c r="AC119" i="19"/>
  <c r="AC125" i="19"/>
  <c r="AC130" i="19"/>
  <c r="AC135" i="19"/>
  <c r="AC141" i="19"/>
  <c r="AC146" i="19"/>
  <c r="AC151" i="19"/>
  <c r="AC157" i="19"/>
  <c r="AC162" i="19"/>
  <c r="AC167" i="19"/>
  <c r="AC183" i="19"/>
  <c r="AC25" i="19"/>
  <c r="AC35" i="19"/>
  <c r="AC46" i="19"/>
  <c r="AC57" i="19"/>
  <c r="AC67" i="19"/>
  <c r="AC78" i="19"/>
  <c r="AC89" i="19"/>
  <c r="AC99" i="19"/>
  <c r="AC110" i="19"/>
  <c r="AC121" i="19"/>
  <c r="AC131" i="19"/>
  <c r="AC142" i="19"/>
  <c r="AC153" i="19"/>
  <c r="AC163" i="19"/>
  <c r="AC14" i="19"/>
  <c r="AC26" i="19"/>
  <c r="AC37" i="19"/>
  <c r="AC47" i="19"/>
  <c r="AC58" i="19"/>
  <c r="AC69" i="19"/>
  <c r="AC79" i="19"/>
  <c r="AC90" i="19"/>
  <c r="AC101" i="19"/>
  <c r="AC111" i="19"/>
  <c r="AC122" i="19"/>
  <c r="AC133" i="19"/>
  <c r="AC143" i="19"/>
  <c r="AC154" i="19"/>
  <c r="AC165" i="19"/>
  <c r="AC19" i="19"/>
  <c r="AC30" i="19"/>
  <c r="AC41" i="19"/>
  <c r="AC51" i="19"/>
  <c r="AC62" i="19"/>
  <c r="AC73" i="19"/>
  <c r="AC83" i="19"/>
  <c r="AC94" i="19"/>
  <c r="AC105" i="19"/>
  <c r="AC115" i="19"/>
  <c r="AC126" i="19"/>
  <c r="AC137" i="19"/>
  <c r="AC147" i="19"/>
  <c r="AC158" i="19"/>
  <c r="AC169" i="19"/>
  <c r="AC179" i="19"/>
  <c r="AC21" i="19"/>
  <c r="AC63" i="19"/>
  <c r="AC106" i="19"/>
  <c r="AC149" i="19"/>
  <c r="AC31" i="19"/>
  <c r="AC74" i="19"/>
  <c r="AC117" i="19"/>
  <c r="AC159" i="19"/>
  <c r="AC42" i="19"/>
  <c r="AC85" i="19"/>
  <c r="AC127" i="19"/>
  <c r="AC170" i="19"/>
  <c r="AC181" i="19"/>
  <c r="AC53" i="19"/>
  <c r="AC95" i="19"/>
  <c r="AC138" i="19"/>
  <c r="AT3" i="19"/>
  <c r="AY3" i="19"/>
  <c r="BF3" i="19"/>
  <c r="BE7" i="19"/>
  <c r="BD4" i="19"/>
  <c r="AJ15" i="19"/>
  <c r="AJ35" i="19"/>
  <c r="AJ39" i="19"/>
  <c r="AJ43" i="19"/>
  <c r="AJ51" i="19"/>
  <c r="AJ55" i="19"/>
  <c r="AJ59" i="19"/>
  <c r="AJ67" i="19"/>
  <c r="AJ83" i="19"/>
  <c r="AJ103" i="19"/>
  <c r="AJ107" i="19"/>
  <c r="AJ111" i="19"/>
  <c r="AJ119" i="19"/>
  <c r="AJ123" i="19"/>
  <c r="AJ127" i="19"/>
  <c r="AJ135" i="19"/>
  <c r="AJ139" i="19"/>
  <c r="AJ143" i="19"/>
  <c r="AJ163" i="19"/>
  <c r="AJ167" i="19"/>
  <c r="AJ171" i="19"/>
  <c r="AJ175" i="19"/>
  <c r="AJ179" i="19"/>
  <c r="AJ18" i="19"/>
  <c r="AJ34" i="19"/>
  <c r="AJ40" i="19"/>
  <c r="AJ50" i="19"/>
  <c r="AJ56" i="19"/>
  <c r="AJ61" i="19"/>
  <c r="AJ66" i="19"/>
  <c r="AJ72" i="19"/>
  <c r="AJ77" i="19"/>
  <c r="AJ93" i="19"/>
  <c r="AJ104" i="19"/>
  <c r="AJ109" i="19"/>
  <c r="AJ114" i="19"/>
  <c r="AJ120" i="19"/>
  <c r="AJ125" i="19"/>
  <c r="AJ130" i="19"/>
  <c r="AJ136" i="19"/>
  <c r="AJ141" i="19"/>
  <c r="AJ146" i="19"/>
  <c r="AJ152" i="19"/>
  <c r="AJ157" i="19"/>
  <c r="AJ162" i="19"/>
  <c r="AJ168" i="19"/>
  <c r="AJ173" i="19"/>
  <c r="AJ178" i="19"/>
  <c r="AJ25" i="19"/>
  <c r="AJ41" i="19"/>
  <c r="AJ52" i="19"/>
  <c r="AJ57" i="19"/>
  <c r="AJ68" i="19"/>
  <c r="AJ73" i="19"/>
  <c r="AJ84" i="19"/>
  <c r="AJ89" i="19"/>
  <c r="AJ94" i="19"/>
  <c r="AJ100" i="19"/>
  <c r="AJ105" i="19"/>
  <c r="AJ110" i="19"/>
  <c r="AJ121" i="19"/>
  <c r="AJ132" i="19"/>
  <c r="AJ137" i="19"/>
  <c r="AJ142" i="19"/>
  <c r="AJ148" i="19"/>
  <c r="AJ153" i="19"/>
  <c r="AJ158" i="19"/>
  <c r="AJ164" i="19"/>
  <c r="AJ169" i="19"/>
  <c r="AJ174" i="19"/>
  <c r="AJ180" i="19"/>
  <c r="AJ21" i="19"/>
  <c r="AJ32" i="19"/>
  <c r="AJ42" i="19"/>
  <c r="AJ53" i="19"/>
  <c r="AJ74" i="19"/>
  <c r="AJ85" i="19"/>
  <c r="AJ106" i="19"/>
  <c r="AJ117" i="19"/>
  <c r="AJ128" i="19"/>
  <c r="AJ138" i="19"/>
  <c r="AJ149" i="19"/>
  <c r="AJ160" i="19"/>
  <c r="AJ170" i="19"/>
  <c r="AJ33" i="19"/>
  <c r="AJ44" i="19"/>
  <c r="AJ54" i="19"/>
  <c r="AJ76" i="19"/>
  <c r="AJ86" i="19"/>
  <c r="AJ108" i="19"/>
  <c r="AJ129" i="19"/>
  <c r="AJ140" i="19"/>
  <c r="AJ150" i="19"/>
  <c r="AJ161" i="19"/>
  <c r="AJ172" i="19"/>
  <c r="AJ182" i="19"/>
  <c r="AJ16" i="19"/>
  <c r="AJ69" i="19"/>
  <c r="AJ90" i="19"/>
  <c r="AJ101" i="19"/>
  <c r="AJ112" i="19"/>
  <c r="AJ133" i="19"/>
  <c r="AJ144" i="19"/>
  <c r="AJ165" i="19"/>
  <c r="AJ176" i="19"/>
  <c r="AJ70" i="19"/>
  <c r="AJ113" i="19"/>
  <c r="AJ38" i="19"/>
  <c r="AJ124" i="19"/>
  <c r="AJ166" i="19"/>
  <c r="AJ49" i="19"/>
  <c r="AJ134" i="19"/>
  <c r="AJ177" i="19"/>
  <c r="AJ60" i="19"/>
  <c r="AJ102" i="19"/>
  <c r="AJ145" i="19"/>
  <c r="AJ17" i="19"/>
  <c r="AJ14" i="19"/>
  <c r="Y14" i="19"/>
  <c r="Z14" i="19"/>
  <c r="V14" i="19"/>
  <c r="V21" i="19"/>
  <c r="Z21" i="19"/>
  <c r="AJ58" i="19"/>
  <c r="Y58" i="19"/>
  <c r="J70" i="19"/>
  <c r="N87" i="19"/>
  <c r="Y86" i="19"/>
  <c r="Z86" i="19" s="1"/>
  <c r="V86" i="19"/>
  <c r="N91" i="19"/>
  <c r="Y90" i="19"/>
  <c r="Z90" i="19" s="1"/>
  <c r="AF90" i="19" s="1"/>
  <c r="V90" i="19"/>
  <c r="V102" i="19"/>
  <c r="Z102" i="19"/>
  <c r="J119" i="19"/>
  <c r="AJ122" i="19"/>
  <c r="Y122" i="19"/>
  <c r="N131" i="19"/>
  <c r="Y138" i="19"/>
  <c r="N155" i="19"/>
  <c r="AJ154" i="19"/>
  <c r="Y76" i="19"/>
  <c r="N37" i="19"/>
  <c r="AJ36" i="19"/>
  <c r="P179" i="19"/>
  <c r="W178" i="19"/>
  <c r="AR178" i="19" s="1"/>
  <c r="Y163" i="19"/>
  <c r="Y124" i="19"/>
  <c r="O123" i="19"/>
  <c r="AA123" i="19" s="1"/>
  <c r="AU123" i="19" s="1"/>
  <c r="AA122" i="19"/>
  <c r="P31" i="19"/>
  <c r="W31" i="19" s="1"/>
  <c r="AR31" i="19" s="1"/>
  <c r="W30" i="19"/>
  <c r="AR30" i="19" s="1"/>
  <c r="P57" i="19"/>
  <c r="W57" i="19" s="1"/>
  <c r="AS57" i="19" s="1"/>
  <c r="W56"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AX16" i="19" s="1"/>
  <c r="BE5" i="19"/>
  <c r="AM4" i="19"/>
  <c r="AQ4" i="19"/>
  <c r="BC4" i="19"/>
  <c r="BG4" i="19"/>
  <c r="BC7" i="19"/>
  <c r="AE6" i="19"/>
  <c r="AP6" i="19"/>
  <c r="AX6" i="19"/>
  <c r="BF6" i="19"/>
  <c r="AI5" i="19"/>
  <c r="AQ5" i="19"/>
  <c r="AY5" i="19"/>
  <c r="BF5" i="19"/>
  <c r="AN4" i="19"/>
  <c r="AZ4" i="19"/>
  <c r="AE7" i="19"/>
  <c r="AM7" i="19"/>
  <c r="AU7" i="19"/>
  <c r="AU26" i="19" s="1"/>
  <c r="BG7" i="19"/>
  <c r="AH6" i="19"/>
  <c r="AQ6" i="19"/>
  <c r="AY6" i="19"/>
  <c r="BG6" i="19"/>
  <c r="AN5" i="19"/>
  <c r="AV5" i="19"/>
  <c r="BD5" i="19"/>
  <c r="AK4" i="19"/>
  <c r="AO4" i="19"/>
  <c r="BA4" i="19"/>
  <c r="BA16" i="19" s="1"/>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AD158" i="19" l="1"/>
  <c r="AF86" i="19"/>
  <c r="AF14" i="19"/>
  <c r="AF21" i="19"/>
  <c r="AF119" i="19"/>
  <c r="AF102" i="19"/>
  <c r="AF50" i="19"/>
  <c r="Q53" i="21"/>
  <c r="R53" i="21" s="1"/>
  <c r="AO16" i="19"/>
  <c r="AO32" i="19"/>
  <c r="AO84" i="19"/>
  <c r="AO100" i="19"/>
  <c r="AO140" i="19"/>
  <c r="AO160" i="19"/>
  <c r="AO17" i="19"/>
  <c r="AO21" i="19"/>
  <c r="AO33" i="19"/>
  <c r="AO49" i="19"/>
  <c r="AO85" i="19"/>
  <c r="AO89" i="19"/>
  <c r="AO101" i="19"/>
  <c r="AO117" i="19"/>
  <c r="AO133" i="19"/>
  <c r="AO141" i="19"/>
  <c r="AO161" i="19"/>
  <c r="AO14" i="19"/>
  <c r="AO86" i="19"/>
  <c r="AO102" i="19"/>
  <c r="AO118" i="19"/>
  <c r="AO134" i="19"/>
  <c r="AO142" i="19"/>
  <c r="AO158" i="19"/>
  <c r="AO15" i="19"/>
  <c r="AO119" i="19"/>
  <c r="AO135" i="19"/>
  <c r="AO143" i="19"/>
  <c r="AO18" i="19"/>
  <c r="AO34" i="19"/>
  <c r="AO50" i="19"/>
  <c r="AO66" i="19"/>
  <c r="AO90" i="19"/>
  <c r="AO51" i="19"/>
  <c r="AO83" i="19"/>
  <c r="V25" i="19"/>
  <c r="Z25" i="19"/>
  <c r="BC55" i="19"/>
  <c r="BC146" i="19"/>
  <c r="BC130" i="19"/>
  <c r="BC50" i="19"/>
  <c r="BC153" i="19"/>
  <c r="BC125" i="19"/>
  <c r="BC33" i="19"/>
  <c r="BC148" i="19"/>
  <c r="BC84" i="19"/>
  <c r="BC36" i="19"/>
  <c r="AX15" i="19"/>
  <c r="M174" i="19"/>
  <c r="X173" i="19"/>
  <c r="Y71" i="19"/>
  <c r="J36" i="19"/>
  <c r="AR158" i="19"/>
  <c r="J71" i="19"/>
  <c r="BF14" i="19"/>
  <c r="BF18" i="19"/>
  <c r="BF34" i="19"/>
  <c r="BF50" i="19"/>
  <c r="BF66" i="19"/>
  <c r="BF86" i="19"/>
  <c r="BF90" i="19"/>
  <c r="BF102" i="19"/>
  <c r="BF118" i="19"/>
  <c r="BF134" i="19"/>
  <c r="BF142" i="19"/>
  <c r="BF158" i="19"/>
  <c r="BF178" i="19"/>
  <c r="BF16" i="19"/>
  <c r="BF32" i="19"/>
  <c r="BF84" i="19"/>
  <c r="BF100" i="19"/>
  <c r="BF140" i="19"/>
  <c r="BF160" i="19"/>
  <c r="BF176" i="19"/>
  <c r="BF21" i="19"/>
  <c r="BF85" i="19"/>
  <c r="BF101" i="19"/>
  <c r="BF117" i="19"/>
  <c r="BF133" i="19"/>
  <c r="BF141" i="19"/>
  <c r="BF15" i="19"/>
  <c r="BF143" i="19"/>
  <c r="BF17" i="19"/>
  <c r="BF49" i="19"/>
  <c r="BF89" i="19"/>
  <c r="BF161" i="19"/>
  <c r="BF177" i="19"/>
  <c r="BF83" i="19"/>
  <c r="BF119" i="19"/>
  <c r="BF33" i="19"/>
  <c r="BF51" i="19"/>
  <c r="BC83" i="19"/>
  <c r="BC34" i="19"/>
  <c r="BC53" i="19"/>
  <c r="BC101" i="19"/>
  <c r="BC100" i="19"/>
  <c r="BC52" i="19"/>
  <c r="AX101" i="19"/>
  <c r="AX133" i="19"/>
  <c r="AX66" i="19"/>
  <c r="N46" i="19"/>
  <c r="V147" i="19"/>
  <c r="AJ147" i="19"/>
  <c r="P136" i="19"/>
  <c r="W135" i="19"/>
  <c r="BD14" i="19"/>
  <c r="BD18" i="19"/>
  <c r="BD34" i="19"/>
  <c r="BD50" i="19"/>
  <c r="BD66" i="19"/>
  <c r="BD86" i="19"/>
  <c r="BD90" i="19"/>
  <c r="BD102" i="19"/>
  <c r="BD118" i="19"/>
  <c r="BD134" i="19"/>
  <c r="BD142" i="19"/>
  <c r="BD158" i="19"/>
  <c r="BD178" i="19"/>
  <c r="BD51" i="19"/>
  <c r="BD119" i="19"/>
  <c r="BD135" i="19"/>
  <c r="BD143" i="19"/>
  <c r="BD15" i="19"/>
  <c r="BD83" i="19"/>
  <c r="BD16" i="19"/>
  <c r="BD32" i="19"/>
  <c r="BD84" i="19"/>
  <c r="BD100" i="19"/>
  <c r="BD140" i="19"/>
  <c r="BD160" i="19"/>
  <c r="BD176" i="19"/>
  <c r="BD141" i="19"/>
  <c r="BD17" i="19"/>
  <c r="BD33" i="19"/>
  <c r="BD49" i="19"/>
  <c r="BD161" i="19"/>
  <c r="BD177" i="19"/>
  <c r="BD25" i="19"/>
  <c r="BD89" i="19"/>
  <c r="BD21" i="19"/>
  <c r="BD85" i="19"/>
  <c r="BD101" i="19"/>
  <c r="BD117" i="19"/>
  <c r="BD133" i="19"/>
  <c r="BG118" i="19"/>
  <c r="BG86" i="19"/>
  <c r="BG160" i="19"/>
  <c r="BG16" i="19"/>
  <c r="AU57" i="19"/>
  <c r="AY14" i="19"/>
  <c r="AY18" i="19"/>
  <c r="AY34" i="19"/>
  <c r="AY17" i="19"/>
  <c r="AY33" i="19"/>
  <c r="AY84" i="19"/>
  <c r="AY100" i="19"/>
  <c r="AY140" i="19"/>
  <c r="AY160" i="19"/>
  <c r="AY49" i="19"/>
  <c r="AY85" i="19"/>
  <c r="AY89" i="19"/>
  <c r="AY101" i="19"/>
  <c r="AY117" i="19"/>
  <c r="AY133" i="19"/>
  <c r="AY141" i="19"/>
  <c r="AY161" i="19"/>
  <c r="AY15" i="19"/>
  <c r="AY50" i="19"/>
  <c r="AY66" i="19"/>
  <c r="AY86" i="19"/>
  <c r="AY90" i="19"/>
  <c r="AY102" i="19"/>
  <c r="AY118" i="19"/>
  <c r="AY134" i="19"/>
  <c r="AY142" i="19"/>
  <c r="AY158" i="19"/>
  <c r="AY143" i="19"/>
  <c r="AY32" i="19"/>
  <c r="AY51" i="19"/>
  <c r="AY83" i="19"/>
  <c r="AY21" i="19"/>
  <c r="AY16" i="19"/>
  <c r="AY119" i="19"/>
  <c r="AY135" i="19"/>
  <c r="BC67" i="19"/>
  <c r="BC103" i="19"/>
  <c r="BC158" i="19"/>
  <c r="BC126" i="19"/>
  <c r="BC78" i="19"/>
  <c r="BC41" i="19"/>
  <c r="BC77" i="19"/>
  <c r="BC144" i="19"/>
  <c r="AX85" i="19"/>
  <c r="AX117" i="19"/>
  <c r="AX142" i="19"/>
  <c r="AX102" i="19"/>
  <c r="AS30" i="19"/>
  <c r="Y104" i="19"/>
  <c r="J104" i="19"/>
  <c r="AR57" i="19"/>
  <c r="BG119" i="19"/>
  <c r="BG18" i="19"/>
  <c r="BA22" i="19"/>
  <c r="J164" i="19"/>
  <c r="J120" i="19"/>
  <c r="AJ118" i="19"/>
  <c r="AT16" i="19"/>
  <c r="AT20" i="19"/>
  <c r="AT24" i="19"/>
  <c r="AT28" i="19"/>
  <c r="AT32" i="19"/>
  <c r="AT36" i="19"/>
  <c r="AT40" i="19"/>
  <c r="AT52" i="19"/>
  <c r="AT56" i="19"/>
  <c r="AT60" i="19"/>
  <c r="AT68" i="19"/>
  <c r="AT72" i="19"/>
  <c r="AT76" i="19"/>
  <c r="AT80" i="19"/>
  <c r="AT84" i="19"/>
  <c r="AT88" i="19"/>
  <c r="AT92" i="19"/>
  <c r="AT96" i="19"/>
  <c r="AT100" i="19"/>
  <c r="AT104" i="19"/>
  <c r="AT112" i="19"/>
  <c r="AT120" i="19"/>
  <c r="AT124" i="19"/>
  <c r="AT128" i="19"/>
  <c r="AT140" i="19"/>
  <c r="AT144" i="19"/>
  <c r="AT148" i="19"/>
  <c r="AT152" i="19"/>
  <c r="AT160" i="19"/>
  <c r="AT164" i="19"/>
  <c r="AT168" i="19"/>
  <c r="AT176" i="19"/>
  <c r="AT17" i="19"/>
  <c r="AT21" i="19"/>
  <c r="AT25" i="19"/>
  <c r="AT29" i="19"/>
  <c r="AT33" i="19"/>
  <c r="AT37" i="19"/>
  <c r="AT41" i="19"/>
  <c r="AT45" i="19"/>
  <c r="AT49" i="19"/>
  <c r="AT53" i="19"/>
  <c r="AT57" i="19"/>
  <c r="AT61" i="19"/>
  <c r="AT69" i="19"/>
  <c r="AT73" i="19"/>
  <c r="AT77" i="19"/>
  <c r="AT85" i="19"/>
  <c r="AT89" i="19"/>
  <c r="AT93" i="19"/>
  <c r="AT97" i="19"/>
  <c r="AT101" i="19"/>
  <c r="AT105" i="19"/>
  <c r="AT109" i="19"/>
  <c r="AT113" i="19"/>
  <c r="AT117" i="19"/>
  <c r="AT121" i="19"/>
  <c r="AT125" i="19"/>
  <c r="AT129" i="19"/>
  <c r="AT133" i="19"/>
  <c r="AT141" i="19"/>
  <c r="AT145" i="19"/>
  <c r="AT149" i="19"/>
  <c r="AT153" i="19"/>
  <c r="AT161" i="19"/>
  <c r="AT165" i="19"/>
  <c r="AT169" i="19"/>
  <c r="AT173" i="19"/>
  <c r="AT177" i="19"/>
  <c r="AT14" i="19"/>
  <c r="AT18" i="19"/>
  <c r="AT22" i="19"/>
  <c r="AT26" i="19"/>
  <c r="AT34" i="19"/>
  <c r="AT38" i="19"/>
  <c r="AT42" i="19"/>
  <c r="AT46" i="19"/>
  <c r="AT50" i="19"/>
  <c r="AT54" i="19"/>
  <c r="AT58" i="19"/>
  <c r="AT62" i="19"/>
  <c r="AT66" i="19"/>
  <c r="AT70" i="19"/>
  <c r="AT74" i="19"/>
  <c r="AT78" i="19"/>
  <c r="AT86" i="19"/>
  <c r="AT90" i="19"/>
  <c r="AT94" i="19"/>
  <c r="AT102" i="19"/>
  <c r="AT106" i="19"/>
  <c r="AT110" i="19"/>
  <c r="AT114" i="19"/>
  <c r="AT118" i="19"/>
  <c r="AT122" i="19"/>
  <c r="AT126" i="19"/>
  <c r="AT130" i="19"/>
  <c r="AT134" i="19"/>
  <c r="AT142" i="19"/>
  <c r="AT146" i="19"/>
  <c r="AT150" i="19"/>
  <c r="AT154" i="19"/>
  <c r="AT23" i="19"/>
  <c r="AT39" i="19"/>
  <c r="AT55" i="19"/>
  <c r="AT71" i="19"/>
  <c r="AT87" i="19"/>
  <c r="AT103" i="19"/>
  <c r="AT119" i="19"/>
  <c r="AT135" i="19"/>
  <c r="AT151" i="19"/>
  <c r="AT162" i="19"/>
  <c r="AT170" i="19"/>
  <c r="AT178" i="19"/>
  <c r="AT27" i="19"/>
  <c r="AT59" i="19"/>
  <c r="AT75" i="19"/>
  <c r="AT91" i="19"/>
  <c r="AT123" i="19"/>
  <c r="AT155" i="19"/>
  <c r="AT163" i="19"/>
  <c r="AT15" i="19"/>
  <c r="AT63" i="19"/>
  <c r="AT79" i="19"/>
  <c r="AT95" i="19"/>
  <c r="AT111" i="19"/>
  <c r="AT127" i="19"/>
  <c r="AT143" i="19"/>
  <c r="AT158" i="19"/>
  <c r="AT166" i="19"/>
  <c r="AT19" i="19"/>
  <c r="AT83" i="19"/>
  <c r="AT147" i="19"/>
  <c r="AT35" i="19"/>
  <c r="AT51" i="19"/>
  <c r="AT167" i="19"/>
  <c r="AT67" i="19"/>
  <c r="AC65" i="19"/>
  <c r="BC63" i="19"/>
  <c r="BC123" i="19"/>
  <c r="BC90" i="19"/>
  <c r="BC26" i="19"/>
  <c r="BC25" i="19"/>
  <c r="BC69" i="19"/>
  <c r="BC124" i="19"/>
  <c r="AX90" i="19"/>
  <c r="AX51" i="19"/>
  <c r="AX141" i="19"/>
  <c r="AX119" i="19"/>
  <c r="AX34" i="19"/>
  <c r="AX161" i="19"/>
  <c r="AX118" i="19"/>
  <c r="AX33" i="19"/>
  <c r="AX100" i="19"/>
  <c r="AX84" i="19"/>
  <c r="AS159" i="19"/>
  <c r="AS31" i="19"/>
  <c r="AS170" i="19"/>
  <c r="AS42" i="19"/>
  <c r="Y181" i="19"/>
  <c r="N80" i="19"/>
  <c r="N64" i="19"/>
  <c r="Y63" i="19"/>
  <c r="V162" i="19"/>
  <c r="Z162" i="19"/>
  <c r="N116" i="19"/>
  <c r="V93" i="19"/>
  <c r="Z93" i="19"/>
  <c r="J52" i="19"/>
  <c r="Z22" i="19"/>
  <c r="N24" i="19"/>
  <c r="V23" i="19"/>
  <c r="Y23" i="19"/>
  <c r="Z23" i="19" s="1"/>
  <c r="AD123" i="19"/>
  <c r="BB14" i="19"/>
  <c r="BB18" i="19"/>
  <c r="BB22" i="19"/>
  <c r="BB26" i="19"/>
  <c r="BB34" i="19"/>
  <c r="BB38" i="19"/>
  <c r="BB50" i="19"/>
  <c r="BB54" i="19"/>
  <c r="BB58" i="19"/>
  <c r="BB62" i="19"/>
  <c r="BB66" i="19"/>
  <c r="BB70" i="19"/>
  <c r="BB74" i="19"/>
  <c r="BB78" i="19"/>
  <c r="BB86" i="19"/>
  <c r="BB90" i="19"/>
  <c r="BB94" i="19"/>
  <c r="BB102" i="19"/>
  <c r="BB106" i="19"/>
  <c r="BB110" i="19"/>
  <c r="BB114" i="19"/>
  <c r="BB118" i="19"/>
  <c r="BB122" i="19"/>
  <c r="BB126" i="19"/>
  <c r="BB130" i="19"/>
  <c r="BB134" i="19"/>
  <c r="BB142" i="19"/>
  <c r="BB146" i="19"/>
  <c r="BB150" i="19"/>
  <c r="BB154" i="19"/>
  <c r="BB158" i="19"/>
  <c r="BB162" i="19"/>
  <c r="BB166" i="19"/>
  <c r="BB170" i="19"/>
  <c r="BB178" i="19"/>
  <c r="BB55" i="19"/>
  <c r="BB71" i="19"/>
  <c r="BB103" i="19"/>
  <c r="BB111" i="19"/>
  <c r="BB123" i="19"/>
  <c r="BB127" i="19"/>
  <c r="BB143" i="19"/>
  <c r="BB147" i="19"/>
  <c r="BB167" i="19"/>
  <c r="BB171" i="19"/>
  <c r="BB15" i="19"/>
  <c r="BB23" i="19"/>
  <c r="BB35" i="19"/>
  <c r="BB39" i="19"/>
  <c r="BB51" i="19"/>
  <c r="BB59" i="19"/>
  <c r="BB67" i="19"/>
  <c r="BB83" i="19"/>
  <c r="BB119" i="19"/>
  <c r="BB135" i="19"/>
  <c r="BB163" i="19"/>
  <c r="BB16" i="19"/>
  <c r="BB32" i="19"/>
  <c r="BB36" i="19"/>
  <c r="BB40" i="19"/>
  <c r="BB52" i="19"/>
  <c r="BB56" i="19"/>
  <c r="BB60" i="19"/>
  <c r="BB68" i="19"/>
  <c r="BB72" i="19"/>
  <c r="BB76" i="19"/>
  <c r="BB84" i="19"/>
  <c r="BB100" i="19"/>
  <c r="BB104" i="19"/>
  <c r="BB112" i="19"/>
  <c r="BB120" i="19"/>
  <c r="BB124" i="19"/>
  <c r="BB128" i="19"/>
  <c r="BB140" i="19"/>
  <c r="BB144" i="19"/>
  <c r="BB148" i="19"/>
  <c r="BB152" i="19"/>
  <c r="BB160" i="19"/>
  <c r="BB164" i="19"/>
  <c r="BB168" i="19"/>
  <c r="BB176" i="19"/>
  <c r="BB17" i="19"/>
  <c r="BB33" i="19"/>
  <c r="BB49" i="19"/>
  <c r="BB113" i="19"/>
  <c r="BB129" i="19"/>
  <c r="BB145" i="19"/>
  <c r="BB161" i="19"/>
  <c r="BB177" i="19"/>
  <c r="BB93" i="19"/>
  <c r="BB173" i="19"/>
  <c r="BB21" i="19"/>
  <c r="BB37" i="19"/>
  <c r="BB53" i="19"/>
  <c r="BB69" i="19"/>
  <c r="BB85" i="19"/>
  <c r="BB101" i="19"/>
  <c r="BB117" i="19"/>
  <c r="BB133" i="19"/>
  <c r="BB149" i="19"/>
  <c r="BB165" i="19"/>
  <c r="BB45" i="19"/>
  <c r="BB77" i="19"/>
  <c r="BB109" i="19"/>
  <c r="BB141" i="19"/>
  <c r="BB25" i="19"/>
  <c r="BB41" i="19"/>
  <c r="BB57" i="19"/>
  <c r="BB73" i="19"/>
  <c r="BB89" i="19"/>
  <c r="BB105" i="19"/>
  <c r="BB121" i="19"/>
  <c r="BB153" i="19"/>
  <c r="BB169" i="19"/>
  <c r="BB61" i="19"/>
  <c r="BB125" i="19"/>
  <c r="P172" i="19"/>
  <c r="W172" i="19" s="1"/>
  <c r="W171" i="19"/>
  <c r="V120" i="19"/>
  <c r="Z120" i="19"/>
  <c r="BG135" i="19"/>
  <c r="BG161" i="19"/>
  <c r="BG15" i="19"/>
  <c r="BG33" i="19"/>
  <c r="BG133" i="19"/>
  <c r="BG21" i="19"/>
  <c r="BG158" i="19"/>
  <c r="BG142" i="19"/>
  <c r="BG14" i="19"/>
  <c r="AU133" i="19"/>
  <c r="AU29" i="19"/>
  <c r="AU85" i="19"/>
  <c r="AU141" i="19"/>
  <c r="AU124" i="19"/>
  <c r="AU92" i="19"/>
  <c r="AU60" i="19"/>
  <c r="AU28" i="19"/>
  <c r="AU169" i="19"/>
  <c r="AU105" i="19"/>
  <c r="AU73" i="19"/>
  <c r="AU41" i="19"/>
  <c r="AU152" i="19"/>
  <c r="AU120" i="19"/>
  <c r="AU88" i="19"/>
  <c r="AU56" i="19"/>
  <c r="AU24" i="19"/>
  <c r="AU163" i="19"/>
  <c r="AU147" i="19"/>
  <c r="AU83" i="19"/>
  <c r="AU67" i="19"/>
  <c r="AU51" i="19"/>
  <c r="AU35" i="19"/>
  <c r="AU19" i="19"/>
  <c r="AU158" i="19"/>
  <c r="AU142" i="19"/>
  <c r="AU126" i="19"/>
  <c r="AU110" i="19"/>
  <c r="AU94" i="19"/>
  <c r="AU78" i="19"/>
  <c r="AU62" i="19"/>
  <c r="AU46" i="19"/>
  <c r="AU14" i="19"/>
  <c r="BA163" i="19"/>
  <c r="BA35" i="19"/>
  <c r="BA103" i="19"/>
  <c r="BA127" i="19"/>
  <c r="BA123" i="19"/>
  <c r="BA59" i="19"/>
  <c r="BA162" i="19"/>
  <c r="BA146" i="19"/>
  <c r="BA130" i="19"/>
  <c r="BA114" i="19"/>
  <c r="BA66" i="19"/>
  <c r="BA50" i="19"/>
  <c r="BA34" i="19"/>
  <c r="BA18" i="19"/>
  <c r="BA169" i="19"/>
  <c r="BA153" i="19"/>
  <c r="BA121" i="19"/>
  <c r="BA105" i="19"/>
  <c r="BA89" i="19"/>
  <c r="BA73" i="19"/>
  <c r="BA57" i="19"/>
  <c r="BA41" i="19"/>
  <c r="BA25" i="19"/>
  <c r="BA164" i="19"/>
  <c r="BA148" i="19"/>
  <c r="BA132" i="19"/>
  <c r="BA100" i="19"/>
  <c r="BA84" i="19"/>
  <c r="BA68" i="19"/>
  <c r="BA52" i="19"/>
  <c r="BA36" i="19"/>
  <c r="J20" i="19"/>
  <c r="AZ14" i="19"/>
  <c r="AZ18" i="19"/>
  <c r="AZ22" i="19"/>
  <c r="AZ26" i="19"/>
  <c r="AZ34" i="19"/>
  <c r="AZ38" i="19"/>
  <c r="AZ42" i="19"/>
  <c r="AZ50" i="19"/>
  <c r="AZ54" i="19"/>
  <c r="AZ58" i="19"/>
  <c r="AZ62" i="19"/>
  <c r="AZ66" i="19"/>
  <c r="AZ70" i="19"/>
  <c r="AZ74" i="19"/>
  <c r="AZ78" i="19"/>
  <c r="AZ86" i="19"/>
  <c r="AZ90" i="19"/>
  <c r="AZ94" i="19"/>
  <c r="AZ102" i="19"/>
  <c r="AZ106" i="19"/>
  <c r="AZ110" i="19"/>
  <c r="AZ114" i="19"/>
  <c r="AZ118" i="19"/>
  <c r="AZ122" i="19"/>
  <c r="AZ126" i="19"/>
  <c r="AZ130" i="19"/>
  <c r="AZ134" i="19"/>
  <c r="AZ138" i="19"/>
  <c r="AZ142" i="19"/>
  <c r="AZ146" i="19"/>
  <c r="AZ150" i="19"/>
  <c r="AZ154" i="19"/>
  <c r="AZ158" i="19"/>
  <c r="AZ162" i="19"/>
  <c r="AZ166" i="19"/>
  <c r="AZ170" i="19"/>
  <c r="AZ174" i="19"/>
  <c r="AZ178" i="19"/>
  <c r="AZ182" i="19"/>
  <c r="AZ15" i="19"/>
  <c r="AZ23" i="19"/>
  <c r="AZ35" i="19"/>
  <c r="AZ39" i="19"/>
  <c r="AZ51" i="19"/>
  <c r="AZ55" i="19"/>
  <c r="AZ59" i="19"/>
  <c r="AZ63" i="19"/>
  <c r="AZ67" i="19"/>
  <c r="AZ71" i="19"/>
  <c r="AZ83" i="19"/>
  <c r="AZ103" i="19"/>
  <c r="AZ111" i="19"/>
  <c r="AZ119" i="19"/>
  <c r="AZ123" i="19"/>
  <c r="AZ127" i="19"/>
  <c r="AZ135" i="19"/>
  <c r="AZ139" i="19"/>
  <c r="AZ143" i="19"/>
  <c r="AZ159" i="19"/>
  <c r="AZ163" i="19"/>
  <c r="AZ167" i="19"/>
  <c r="AZ171" i="19"/>
  <c r="AZ175" i="19"/>
  <c r="AZ16" i="19"/>
  <c r="AZ32" i="19"/>
  <c r="AZ36" i="19"/>
  <c r="AZ40" i="19"/>
  <c r="AZ44" i="19"/>
  <c r="AZ52" i="19"/>
  <c r="AZ56" i="19"/>
  <c r="AZ60" i="19"/>
  <c r="AZ68" i="19"/>
  <c r="AZ72" i="19"/>
  <c r="AZ76" i="19"/>
  <c r="AZ84" i="19"/>
  <c r="AZ100" i="19"/>
  <c r="AZ104" i="19"/>
  <c r="AZ112" i="19"/>
  <c r="AZ120" i="19"/>
  <c r="AZ124" i="19"/>
  <c r="AZ128" i="19"/>
  <c r="AZ132" i="19"/>
  <c r="AZ140" i="19"/>
  <c r="AZ144" i="19"/>
  <c r="AZ148" i="19"/>
  <c r="AZ152" i="19"/>
  <c r="AZ160" i="19"/>
  <c r="AZ164" i="19"/>
  <c r="AZ168" i="19"/>
  <c r="AZ172" i="19"/>
  <c r="AZ176" i="19"/>
  <c r="AZ180" i="19"/>
  <c r="AZ21" i="19"/>
  <c r="AZ53" i="19"/>
  <c r="AZ69" i="19"/>
  <c r="AZ85" i="19"/>
  <c r="AZ101" i="19"/>
  <c r="AZ117" i="19"/>
  <c r="AZ133" i="19"/>
  <c r="AZ149" i="19"/>
  <c r="AZ165" i="19"/>
  <c r="AZ113" i="19"/>
  <c r="AZ25" i="19"/>
  <c r="AZ41" i="19"/>
  <c r="AZ57" i="19"/>
  <c r="AZ73" i="19"/>
  <c r="AZ89" i="19"/>
  <c r="AZ105" i="19"/>
  <c r="AZ121" i="19"/>
  <c r="AZ153" i="19"/>
  <c r="AZ169" i="19"/>
  <c r="AZ33" i="19"/>
  <c r="AZ145" i="19"/>
  <c r="AZ161" i="19"/>
  <c r="AZ45" i="19"/>
  <c r="AZ61" i="19"/>
  <c r="AZ77" i="19"/>
  <c r="AZ93" i="19"/>
  <c r="AZ109" i="19"/>
  <c r="AZ125" i="19"/>
  <c r="AZ141" i="19"/>
  <c r="AZ157" i="19"/>
  <c r="AZ173" i="19"/>
  <c r="AZ17" i="19"/>
  <c r="AZ49" i="19"/>
  <c r="AZ129" i="19"/>
  <c r="AZ177" i="19"/>
  <c r="Y164" i="19"/>
  <c r="BC163" i="19"/>
  <c r="BC119" i="19"/>
  <c r="BC162" i="19"/>
  <c r="BC114" i="19"/>
  <c r="BC66" i="19"/>
  <c r="BC18" i="19"/>
  <c r="BC105" i="19"/>
  <c r="BC149" i="19"/>
  <c r="BC57" i="19"/>
  <c r="BC164" i="19"/>
  <c r="BC68" i="19"/>
  <c r="AX21" i="19"/>
  <c r="AX83" i="19"/>
  <c r="AX86" i="19"/>
  <c r="AX140" i="19"/>
  <c r="Y144" i="19"/>
  <c r="Z144" i="19" s="1"/>
  <c r="BG144" i="19" s="1"/>
  <c r="V67" i="19"/>
  <c r="AF67" i="19" s="1"/>
  <c r="AR42" i="19"/>
  <c r="BG25" i="19"/>
  <c r="BG85" i="19"/>
  <c r="BG143" i="19"/>
  <c r="BG134" i="19"/>
  <c r="BG102" i="19"/>
  <c r="BG32" i="19"/>
  <c r="BA122" i="19"/>
  <c r="BA26" i="19"/>
  <c r="AV16" i="19"/>
  <c r="AV32" i="19"/>
  <c r="AV84" i="19"/>
  <c r="AV100" i="19"/>
  <c r="AV140" i="19"/>
  <c r="AV160" i="19"/>
  <c r="AV176" i="19"/>
  <c r="AV15" i="19"/>
  <c r="AV21" i="19"/>
  <c r="AV85" i="19"/>
  <c r="AV90" i="19"/>
  <c r="AV101" i="19"/>
  <c r="AV117" i="19"/>
  <c r="AV133" i="19"/>
  <c r="AV143" i="19"/>
  <c r="AV17" i="19"/>
  <c r="AV33" i="19"/>
  <c r="AV49" i="19"/>
  <c r="AV86" i="19"/>
  <c r="AV102" i="19"/>
  <c r="AV118" i="19"/>
  <c r="AV134" i="19"/>
  <c r="AV161" i="19"/>
  <c r="AV177" i="19"/>
  <c r="AV18" i="19"/>
  <c r="AV34" i="19"/>
  <c r="AV50" i="19"/>
  <c r="AV66" i="19"/>
  <c r="AV93" i="19"/>
  <c r="AV119" i="19"/>
  <c r="AV135" i="19"/>
  <c r="AV141" i="19"/>
  <c r="AV178" i="19"/>
  <c r="AV25" i="19"/>
  <c r="AV67" i="19"/>
  <c r="AV89" i="19"/>
  <c r="AV51" i="19"/>
  <c r="AV158" i="19"/>
  <c r="AV14" i="19"/>
  <c r="AV142" i="19"/>
  <c r="AV83" i="19"/>
  <c r="AK17" i="19"/>
  <c r="AK21" i="19"/>
  <c r="AK25" i="19"/>
  <c r="AK33" i="19"/>
  <c r="AK41" i="19"/>
  <c r="AK45" i="19"/>
  <c r="AK49" i="19"/>
  <c r="AK53" i="19"/>
  <c r="AK57" i="19"/>
  <c r="AK61" i="19"/>
  <c r="AK69" i="19"/>
  <c r="AK73" i="19"/>
  <c r="AK77" i="19"/>
  <c r="AK85" i="19"/>
  <c r="AK89" i="19"/>
  <c r="AK93" i="19"/>
  <c r="AK101" i="19"/>
  <c r="AK105" i="19"/>
  <c r="AK109" i="19"/>
  <c r="AK113" i="19"/>
  <c r="AK117" i="19"/>
  <c r="AK121" i="19"/>
  <c r="AK125" i="19"/>
  <c r="AK129" i="19"/>
  <c r="AK133" i="19"/>
  <c r="AK137" i="19"/>
  <c r="AK141" i="19"/>
  <c r="AK145" i="19"/>
  <c r="AK149" i="19"/>
  <c r="AK153" i="19"/>
  <c r="AK157" i="19"/>
  <c r="AK161" i="19"/>
  <c r="AK165" i="19"/>
  <c r="AK169" i="19"/>
  <c r="AK173" i="19"/>
  <c r="AK14" i="19"/>
  <c r="AK35" i="19"/>
  <c r="AK40" i="19"/>
  <c r="AK51" i="19"/>
  <c r="AK56" i="19"/>
  <c r="AK62" i="19"/>
  <c r="AK67" i="19"/>
  <c r="AK72" i="19"/>
  <c r="AK78" i="19"/>
  <c r="AK83" i="19"/>
  <c r="AK94" i="19"/>
  <c r="AK104" i="19"/>
  <c r="AK110" i="19"/>
  <c r="AK120" i="19"/>
  <c r="AK126" i="19"/>
  <c r="AK131" i="19"/>
  <c r="AK136" i="19"/>
  <c r="AK142" i="19"/>
  <c r="AK152" i="19"/>
  <c r="AK158" i="19"/>
  <c r="AK163" i="19"/>
  <c r="AK168" i="19"/>
  <c r="AK179" i="19"/>
  <c r="AK15" i="19"/>
  <c r="AK26" i="19"/>
  <c r="AK36" i="19"/>
  <c r="AK42" i="19"/>
  <c r="AK52" i="19"/>
  <c r="AK58" i="19"/>
  <c r="AK68" i="19"/>
  <c r="AK74" i="19"/>
  <c r="AK79" i="19"/>
  <c r="AK84" i="19"/>
  <c r="AK90" i="19"/>
  <c r="AK100" i="19"/>
  <c r="AK106" i="19"/>
  <c r="AK111" i="19"/>
  <c r="AK122" i="19"/>
  <c r="AK127" i="19"/>
  <c r="AK132" i="19"/>
  <c r="AK138" i="19"/>
  <c r="AK143" i="19"/>
  <c r="AK148" i="19"/>
  <c r="AK154" i="19"/>
  <c r="AK164" i="19"/>
  <c r="AK170" i="19"/>
  <c r="AK180" i="19"/>
  <c r="AK22" i="19"/>
  <c r="AK32" i="19"/>
  <c r="AK43" i="19"/>
  <c r="AK54" i="19"/>
  <c r="AK86" i="19"/>
  <c r="AK107" i="19"/>
  <c r="AK118" i="19"/>
  <c r="AK128" i="19"/>
  <c r="AK139" i="19"/>
  <c r="AK150" i="19"/>
  <c r="AK160" i="19"/>
  <c r="AK171" i="19"/>
  <c r="AK182" i="19"/>
  <c r="AK23" i="19"/>
  <c r="AK34" i="19"/>
  <c r="AK44" i="19"/>
  <c r="AK55" i="19"/>
  <c r="AK66" i="19"/>
  <c r="AK76" i="19"/>
  <c r="AK108" i="19"/>
  <c r="AK119" i="19"/>
  <c r="AK130" i="19"/>
  <c r="AK140" i="19"/>
  <c r="AK162" i="19"/>
  <c r="AK172" i="19"/>
  <c r="AK16" i="19"/>
  <c r="AK38" i="19"/>
  <c r="AK59" i="19"/>
  <c r="AK70" i="19"/>
  <c r="AK102" i="19"/>
  <c r="AK112" i="19"/>
  <c r="AK123" i="19"/>
  <c r="AK134" i="19"/>
  <c r="AK144" i="19"/>
  <c r="AK166" i="19"/>
  <c r="AK71" i="19"/>
  <c r="AK114" i="19"/>
  <c r="AK39" i="19"/>
  <c r="AK124" i="19"/>
  <c r="AK167" i="19"/>
  <c r="AK50" i="19"/>
  <c r="AK135" i="19"/>
  <c r="AK60" i="19"/>
  <c r="AK103" i="19"/>
  <c r="AK146" i="19"/>
  <c r="AK18" i="19"/>
  <c r="BE16" i="19"/>
  <c r="BE32" i="19"/>
  <c r="BE84" i="19"/>
  <c r="BE100" i="19"/>
  <c r="BE140" i="19"/>
  <c r="BE160" i="19"/>
  <c r="BE17" i="19"/>
  <c r="BE21" i="19"/>
  <c r="BE25" i="19"/>
  <c r="BE14" i="19"/>
  <c r="BE18" i="19"/>
  <c r="BE34" i="19"/>
  <c r="BE50" i="19"/>
  <c r="BE66" i="19"/>
  <c r="BE86" i="19"/>
  <c r="BE90" i="19"/>
  <c r="BE102" i="19"/>
  <c r="BE118" i="19"/>
  <c r="BE134" i="19"/>
  <c r="BE142" i="19"/>
  <c r="BE158" i="19"/>
  <c r="BE162" i="19"/>
  <c r="BE33" i="19"/>
  <c r="BE119" i="19"/>
  <c r="BE135" i="19"/>
  <c r="BE143" i="19"/>
  <c r="BE15" i="19"/>
  <c r="BE101" i="19"/>
  <c r="BE141" i="19"/>
  <c r="BE49" i="19"/>
  <c r="BE89" i="19"/>
  <c r="BE161" i="19"/>
  <c r="BE93" i="19"/>
  <c r="BE117" i="19"/>
  <c r="BE51" i="19"/>
  <c r="BE67" i="19"/>
  <c r="BE83" i="19"/>
  <c r="BE85" i="19"/>
  <c r="BE133" i="19"/>
  <c r="Y77" i="19"/>
  <c r="V103" i="19"/>
  <c r="Z103" i="19"/>
  <c r="AQ103" i="19" s="1"/>
  <c r="BC143" i="19"/>
  <c r="BC15" i="19"/>
  <c r="BC167" i="19"/>
  <c r="BC39" i="19"/>
  <c r="BC142" i="19"/>
  <c r="BC110" i="19"/>
  <c r="BC94" i="19"/>
  <c r="BC62" i="19"/>
  <c r="BC14" i="19"/>
  <c r="BC141" i="19"/>
  <c r="BC85" i="19"/>
  <c r="BC169" i="19"/>
  <c r="BC145" i="19"/>
  <c r="BC121" i="19"/>
  <c r="BC49" i="19"/>
  <c r="BC160" i="19"/>
  <c r="BC128" i="19"/>
  <c r="BC112" i="19"/>
  <c r="BC32" i="19"/>
  <c r="BC16" i="19"/>
  <c r="AX14" i="19"/>
  <c r="AX18" i="19"/>
  <c r="AX17" i="19"/>
  <c r="V159" i="19"/>
  <c r="AD159" i="19" s="1"/>
  <c r="Y159" i="19"/>
  <c r="Z159" i="19" s="1"/>
  <c r="AN159" i="19" s="1"/>
  <c r="P44" i="19"/>
  <c r="W44" i="19" s="1"/>
  <c r="W43" i="19"/>
  <c r="O43" i="19"/>
  <c r="AA43" i="19" s="1"/>
  <c r="AD43" i="19" s="1"/>
  <c r="AA42" i="19"/>
  <c r="V183" i="19"/>
  <c r="Y183" i="19"/>
  <c r="Z183" i="19" s="1"/>
  <c r="N28" i="19"/>
  <c r="Y27" i="19"/>
  <c r="V179" i="19"/>
  <c r="AD179" i="19" s="1"/>
  <c r="Z179" i="19"/>
  <c r="V35" i="19"/>
  <c r="BG89" i="19"/>
  <c r="BG17" i="19"/>
  <c r="BG141" i="19"/>
  <c r="BG93" i="19"/>
  <c r="BG67" i="19"/>
  <c r="BG66" i="19"/>
  <c r="BG50" i="19"/>
  <c r="BG34" i="19"/>
  <c r="BG140" i="19"/>
  <c r="J88" i="19"/>
  <c r="AN14" i="19"/>
  <c r="AN18" i="19"/>
  <c r="AN34" i="19"/>
  <c r="AN50" i="19"/>
  <c r="AN66" i="19"/>
  <c r="AN86" i="19"/>
  <c r="AN90" i="19"/>
  <c r="AN102" i="19"/>
  <c r="AN118" i="19"/>
  <c r="AN134" i="19"/>
  <c r="AN142" i="19"/>
  <c r="AN158" i="19"/>
  <c r="AN162" i="19"/>
  <c r="AN178" i="19"/>
  <c r="AN15" i="19"/>
  <c r="AN51" i="19"/>
  <c r="AN67" i="19"/>
  <c r="AN83" i="19"/>
  <c r="AN119" i="19"/>
  <c r="AN135" i="19"/>
  <c r="AN143" i="19"/>
  <c r="AN16" i="19"/>
  <c r="AN32" i="19"/>
  <c r="AN160" i="19"/>
  <c r="AN176" i="19"/>
  <c r="AN17" i="19"/>
  <c r="AN25" i="19"/>
  <c r="AN33" i="19"/>
  <c r="AN49" i="19"/>
  <c r="AN89" i="19"/>
  <c r="AN161" i="19"/>
  <c r="AN177" i="19"/>
  <c r="AN84" i="19"/>
  <c r="AN100" i="19"/>
  <c r="AN140" i="19"/>
  <c r="AN101" i="19"/>
  <c r="AN133" i="19"/>
  <c r="AN141" i="19"/>
  <c r="AN21" i="19"/>
  <c r="AN85" i="19"/>
  <c r="AN117" i="19"/>
  <c r="AN93" i="19"/>
  <c r="AI17" i="19"/>
  <c r="AI21" i="19"/>
  <c r="AI25" i="19"/>
  <c r="AI33" i="19"/>
  <c r="AI49" i="19"/>
  <c r="AI85" i="19"/>
  <c r="AI89" i="19"/>
  <c r="AI93" i="19"/>
  <c r="AI101" i="19"/>
  <c r="AI117" i="19"/>
  <c r="AI133" i="19"/>
  <c r="AI141" i="19"/>
  <c r="AI161" i="19"/>
  <c r="AI18" i="19"/>
  <c r="AI34" i="19"/>
  <c r="AI50" i="19"/>
  <c r="AI66" i="19"/>
  <c r="AI119" i="19"/>
  <c r="AI135" i="19"/>
  <c r="AI140" i="19"/>
  <c r="AI162" i="19"/>
  <c r="AI14" i="19"/>
  <c r="AI51" i="19"/>
  <c r="AI67" i="19"/>
  <c r="AI83" i="19"/>
  <c r="AI142" i="19"/>
  <c r="AI158" i="19"/>
  <c r="AI15" i="19"/>
  <c r="AI84" i="19"/>
  <c r="AI90" i="19"/>
  <c r="AI100" i="19"/>
  <c r="AI86" i="19"/>
  <c r="AI118" i="19"/>
  <c r="AI160" i="19"/>
  <c r="AI32" i="19"/>
  <c r="AI143" i="19"/>
  <c r="AI134" i="19"/>
  <c r="AI16" i="19"/>
  <c r="AI102" i="19"/>
  <c r="AE16" i="19"/>
  <c r="AE20" i="19"/>
  <c r="AE24" i="19"/>
  <c r="AE28" i="19"/>
  <c r="AE32" i="19"/>
  <c r="AE36" i="19"/>
  <c r="AE40" i="19"/>
  <c r="AE44" i="19"/>
  <c r="AE52" i="19"/>
  <c r="AE56" i="19"/>
  <c r="AE60" i="19"/>
  <c r="AE68" i="19"/>
  <c r="AE72" i="19"/>
  <c r="AE76" i="19"/>
  <c r="AE80" i="19"/>
  <c r="AE84" i="19"/>
  <c r="AE88" i="19"/>
  <c r="AE92" i="19"/>
  <c r="AE96" i="19"/>
  <c r="AE100" i="19"/>
  <c r="AE104" i="19"/>
  <c r="AE108" i="19"/>
  <c r="AE112" i="19"/>
  <c r="AE120" i="19"/>
  <c r="AE124" i="19"/>
  <c r="AE128" i="19"/>
  <c r="AE140" i="19"/>
  <c r="AE144" i="19"/>
  <c r="AE148" i="19"/>
  <c r="AE152" i="19"/>
  <c r="AE160" i="19"/>
  <c r="AE164" i="19"/>
  <c r="AE168" i="19"/>
  <c r="AE172" i="19"/>
  <c r="AE17" i="19"/>
  <c r="AE21" i="19"/>
  <c r="AE25" i="19"/>
  <c r="AE29" i="19"/>
  <c r="AE33" i="19"/>
  <c r="AE37" i="19"/>
  <c r="AE41" i="19"/>
  <c r="AE45" i="19"/>
  <c r="AE49" i="19"/>
  <c r="AE53" i="19"/>
  <c r="AE57" i="19"/>
  <c r="AE61" i="19"/>
  <c r="AE69" i="19"/>
  <c r="AE73" i="19"/>
  <c r="AE77" i="19"/>
  <c r="AE85" i="19"/>
  <c r="AE89" i="19"/>
  <c r="AE93" i="19"/>
  <c r="AE97" i="19"/>
  <c r="AE101" i="19"/>
  <c r="AE105" i="19"/>
  <c r="AE109" i="19"/>
  <c r="AE113" i="19"/>
  <c r="AE117" i="19"/>
  <c r="AE121" i="19"/>
  <c r="AE125" i="19"/>
  <c r="AE129" i="19"/>
  <c r="AE133" i="19"/>
  <c r="AE141" i="19"/>
  <c r="AE145" i="19"/>
  <c r="AE149" i="19"/>
  <c r="AE153" i="19"/>
  <c r="AE161" i="19"/>
  <c r="AE165" i="19"/>
  <c r="AE169" i="19"/>
  <c r="AE173" i="19"/>
  <c r="AE14" i="19"/>
  <c r="AE22" i="19"/>
  <c r="AE38" i="19"/>
  <c r="AE46" i="19"/>
  <c r="AE54" i="19"/>
  <c r="AE62" i="19"/>
  <c r="AE70" i="19"/>
  <c r="AE78" i="19"/>
  <c r="AE86" i="19"/>
  <c r="AE94" i="19"/>
  <c r="AE102" i="19"/>
  <c r="AE110" i="19"/>
  <c r="AE118" i="19"/>
  <c r="AE126" i="19"/>
  <c r="AE134" i="19"/>
  <c r="AE142" i="19"/>
  <c r="AE150" i="19"/>
  <c r="AE158" i="19"/>
  <c r="AE166" i="19"/>
  <c r="AE15" i="19"/>
  <c r="AE23" i="19"/>
  <c r="AE39" i="19"/>
  <c r="AE55" i="19"/>
  <c r="AE63" i="19"/>
  <c r="AE71" i="19"/>
  <c r="AE79" i="19"/>
  <c r="AE87" i="19"/>
  <c r="AE95" i="19"/>
  <c r="AE103" i="19"/>
  <c r="AE111" i="19"/>
  <c r="AE119" i="19"/>
  <c r="AE127" i="19"/>
  <c r="AE135" i="19"/>
  <c r="AE143" i="19"/>
  <c r="AE151" i="19"/>
  <c r="AE167" i="19"/>
  <c r="AE183" i="19"/>
  <c r="AE18" i="19"/>
  <c r="AE26" i="19"/>
  <c r="AE34" i="19"/>
  <c r="AE42" i="19"/>
  <c r="AE50" i="19"/>
  <c r="AE58" i="19"/>
  <c r="AE66" i="19"/>
  <c r="AE74" i="19"/>
  <c r="AE90" i="19"/>
  <c r="AE106" i="19"/>
  <c r="AE114" i="19"/>
  <c r="AE122" i="19"/>
  <c r="AE130" i="19"/>
  <c r="AE146" i="19"/>
  <c r="AE154" i="19"/>
  <c r="AE162" i="19"/>
  <c r="AE170" i="19"/>
  <c r="AE27" i="19"/>
  <c r="AE59" i="19"/>
  <c r="AE91" i="19"/>
  <c r="AE123" i="19"/>
  <c r="AE155" i="19"/>
  <c r="AE35" i="19"/>
  <c r="AE67" i="19"/>
  <c r="AE163" i="19"/>
  <c r="AE43" i="19"/>
  <c r="AE75" i="19"/>
  <c r="AE107" i="19"/>
  <c r="AE171" i="19"/>
  <c r="AE19" i="19"/>
  <c r="AE147" i="19"/>
  <c r="AE51" i="19"/>
  <c r="AE83" i="19"/>
  <c r="AQ17" i="19"/>
  <c r="AQ21" i="19"/>
  <c r="AQ25" i="19"/>
  <c r="AQ33" i="19"/>
  <c r="AQ49" i="19"/>
  <c r="AQ85" i="19"/>
  <c r="AQ89" i="19"/>
  <c r="AQ93" i="19"/>
  <c r="AQ101" i="19"/>
  <c r="AQ117" i="19"/>
  <c r="AQ133" i="19"/>
  <c r="AQ141" i="19"/>
  <c r="AQ161" i="19"/>
  <c r="AQ14" i="19"/>
  <c r="AQ51" i="19"/>
  <c r="AQ67" i="19"/>
  <c r="AQ83" i="19"/>
  <c r="AQ142" i="19"/>
  <c r="AQ158" i="19"/>
  <c r="AQ15" i="19"/>
  <c r="AQ84" i="19"/>
  <c r="AQ90" i="19"/>
  <c r="AQ100" i="19"/>
  <c r="AQ143" i="19"/>
  <c r="AQ16" i="19"/>
  <c r="AQ32" i="19"/>
  <c r="AQ86" i="19"/>
  <c r="AQ102" i="19"/>
  <c r="AQ118" i="19"/>
  <c r="AQ134" i="19"/>
  <c r="AQ144" i="19"/>
  <c r="AQ160" i="19"/>
  <c r="AQ18" i="19"/>
  <c r="AQ66" i="19"/>
  <c r="AQ50" i="19"/>
  <c r="AQ135" i="19"/>
  <c r="AQ34" i="19"/>
  <c r="AQ119" i="19"/>
  <c r="AQ140" i="19"/>
  <c r="AQ162" i="19"/>
  <c r="AP14" i="19"/>
  <c r="AP18" i="19"/>
  <c r="AP34" i="19"/>
  <c r="AP50" i="19"/>
  <c r="AP66" i="19"/>
  <c r="AP15" i="19"/>
  <c r="AP51" i="19"/>
  <c r="AP67" i="19"/>
  <c r="AP83" i="19"/>
  <c r="AP103" i="19"/>
  <c r="AP119" i="19"/>
  <c r="AP135" i="19"/>
  <c r="AP143" i="19"/>
  <c r="AP179" i="19"/>
  <c r="AP93" i="19"/>
  <c r="AP141" i="19"/>
  <c r="AP162" i="19"/>
  <c r="AP178" i="19"/>
  <c r="AP21" i="19"/>
  <c r="AP84" i="19"/>
  <c r="AP89" i="19"/>
  <c r="AP100" i="19"/>
  <c r="AP142" i="19"/>
  <c r="AP158" i="19"/>
  <c r="AP16" i="19"/>
  <c r="AP32" i="19"/>
  <c r="AP85" i="19"/>
  <c r="AP90" i="19"/>
  <c r="AP101" i="19"/>
  <c r="AP117" i="19"/>
  <c r="AP133" i="19"/>
  <c r="AP144" i="19"/>
  <c r="AP160" i="19"/>
  <c r="AP176" i="19"/>
  <c r="AP17" i="19"/>
  <c r="AP49" i="19"/>
  <c r="AP102" i="19"/>
  <c r="AP25" i="19"/>
  <c r="AP86" i="19"/>
  <c r="AP33" i="19"/>
  <c r="AP134" i="19"/>
  <c r="AP177" i="19"/>
  <c r="AP118" i="19"/>
  <c r="AP140" i="19"/>
  <c r="AP161" i="19"/>
  <c r="Y125" i="19"/>
  <c r="P180" i="19"/>
  <c r="W180" i="19" s="1"/>
  <c r="W179" i="19"/>
  <c r="AT179" i="19" s="1"/>
  <c r="N156" i="19"/>
  <c r="N92" i="19"/>
  <c r="V91" i="19"/>
  <c r="Y91" i="19"/>
  <c r="Z91" i="19" s="1"/>
  <c r="BC35" i="19"/>
  <c r="BC127" i="19"/>
  <c r="BC147" i="19"/>
  <c r="BC59" i="19"/>
  <c r="BC87" i="19"/>
  <c r="BC23" i="19"/>
  <c r="BC170" i="19"/>
  <c r="BC154" i="19"/>
  <c r="BC122" i="19"/>
  <c r="BC106" i="19"/>
  <c r="BC74" i="19"/>
  <c r="BC58" i="19"/>
  <c r="BC42" i="19"/>
  <c r="BC173" i="19"/>
  <c r="BC129" i="19"/>
  <c r="BC73" i="19"/>
  <c r="BC165" i="19"/>
  <c r="BC113" i="19"/>
  <c r="BC93" i="19"/>
  <c r="BC45" i="19"/>
  <c r="BC21" i="19"/>
  <c r="BC172" i="19"/>
  <c r="BC140" i="19"/>
  <c r="BC76" i="19"/>
  <c r="BC60" i="19"/>
  <c r="BC44" i="19"/>
  <c r="AX143" i="19"/>
  <c r="AX158" i="19"/>
  <c r="AX162" i="19"/>
  <c r="AM16" i="19"/>
  <c r="AM32" i="19"/>
  <c r="AM36" i="19"/>
  <c r="AM40" i="19"/>
  <c r="AM44" i="19"/>
  <c r="AM52" i="19"/>
  <c r="AM56" i="19"/>
  <c r="AM60" i="19"/>
  <c r="AM68" i="19"/>
  <c r="AM72" i="19"/>
  <c r="AM76" i="19"/>
  <c r="AM84" i="19"/>
  <c r="AM100" i="19"/>
  <c r="AM104" i="19"/>
  <c r="AM108" i="19"/>
  <c r="AM112" i="19"/>
  <c r="AM120" i="19"/>
  <c r="AM124" i="19"/>
  <c r="AM128" i="19"/>
  <c r="AM140" i="19"/>
  <c r="AM144" i="19"/>
  <c r="AM148" i="19"/>
  <c r="AM152" i="19"/>
  <c r="AM160" i="19"/>
  <c r="AM164" i="19"/>
  <c r="AM168" i="19"/>
  <c r="AM172" i="19"/>
  <c r="AM17" i="19"/>
  <c r="AM21" i="19"/>
  <c r="AM25" i="19"/>
  <c r="AM33" i="19"/>
  <c r="AM41" i="19"/>
  <c r="AM45" i="19"/>
  <c r="AM49" i="19"/>
  <c r="AM53" i="19"/>
  <c r="AM57" i="19"/>
  <c r="AM61" i="19"/>
  <c r="AM69" i="19"/>
  <c r="AM73" i="19"/>
  <c r="AM77" i="19"/>
  <c r="AM85" i="19"/>
  <c r="AM89" i="19"/>
  <c r="AM93" i="19"/>
  <c r="AM101" i="19"/>
  <c r="AM105" i="19"/>
  <c r="AM109" i="19"/>
  <c r="AM113" i="19"/>
  <c r="AM117" i="19"/>
  <c r="AM121" i="19"/>
  <c r="AM125" i="19"/>
  <c r="AM129" i="19"/>
  <c r="AM133" i="19"/>
  <c r="AM141" i="19"/>
  <c r="AM145" i="19"/>
  <c r="AM149" i="19"/>
  <c r="AM153" i="19"/>
  <c r="AM161" i="19"/>
  <c r="AM165" i="19"/>
  <c r="AM169" i="19"/>
  <c r="AM173" i="19"/>
  <c r="AM18" i="19"/>
  <c r="AM26" i="19"/>
  <c r="AM34" i="19"/>
  <c r="AM42" i="19"/>
  <c r="AM50" i="19"/>
  <c r="AM58" i="19"/>
  <c r="AM66" i="19"/>
  <c r="AM74" i="19"/>
  <c r="AM90" i="19"/>
  <c r="AM106" i="19"/>
  <c r="AM114" i="19"/>
  <c r="AM122" i="19"/>
  <c r="AM130" i="19"/>
  <c r="AM146" i="19"/>
  <c r="AM154" i="19"/>
  <c r="AM162" i="19"/>
  <c r="AM170" i="19"/>
  <c r="AM27" i="19"/>
  <c r="AM35" i="19"/>
  <c r="AM43" i="19"/>
  <c r="AM51" i="19"/>
  <c r="AM59" i="19"/>
  <c r="AM67" i="19"/>
  <c r="AM83" i="19"/>
  <c r="AM107" i="19"/>
  <c r="AM123" i="19"/>
  <c r="AM147" i="19"/>
  <c r="AM163" i="19"/>
  <c r="AM171" i="19"/>
  <c r="AM179" i="19"/>
  <c r="AM14" i="19"/>
  <c r="AM22" i="19"/>
  <c r="AM38" i="19"/>
  <c r="AM54" i="19"/>
  <c r="AM62" i="19"/>
  <c r="AM70" i="19"/>
  <c r="AM78" i="19"/>
  <c r="AM86" i="19"/>
  <c r="AM94" i="19"/>
  <c r="AM102" i="19"/>
  <c r="AM110" i="19"/>
  <c r="AM118" i="19"/>
  <c r="AM126" i="19"/>
  <c r="AM134" i="19"/>
  <c r="AM142" i="19"/>
  <c r="AM150" i="19"/>
  <c r="AM158" i="19"/>
  <c r="AM166" i="19"/>
  <c r="AM15" i="19"/>
  <c r="AM111" i="19"/>
  <c r="AM143" i="19"/>
  <c r="AM23" i="19"/>
  <c r="AM55" i="19"/>
  <c r="AM87" i="19"/>
  <c r="AM119" i="19"/>
  <c r="AM183" i="19"/>
  <c r="AM63" i="19"/>
  <c r="AM95" i="19"/>
  <c r="AM127" i="19"/>
  <c r="AM135" i="19"/>
  <c r="AM39" i="19"/>
  <c r="AM167" i="19"/>
  <c r="AM71" i="19"/>
  <c r="AM103" i="19"/>
  <c r="AH14" i="19"/>
  <c r="AH18" i="19"/>
  <c r="AH34" i="19"/>
  <c r="AH50" i="19"/>
  <c r="AH66" i="19"/>
  <c r="AH86" i="19"/>
  <c r="AH90" i="19"/>
  <c r="AH102" i="19"/>
  <c r="AH118" i="19"/>
  <c r="AH15" i="19"/>
  <c r="AH51" i="19"/>
  <c r="AH67" i="19"/>
  <c r="AH83" i="19"/>
  <c r="AH103" i="19"/>
  <c r="AH119" i="19"/>
  <c r="AH135" i="19"/>
  <c r="AH143" i="19"/>
  <c r="AH179" i="19"/>
  <c r="AH16" i="19"/>
  <c r="AH32" i="19"/>
  <c r="AH134" i="19"/>
  <c r="AH140" i="19"/>
  <c r="AH161" i="19"/>
  <c r="AH177" i="19"/>
  <c r="AH17" i="19"/>
  <c r="AH25" i="19"/>
  <c r="AH33" i="19"/>
  <c r="AH49" i="19"/>
  <c r="AH89" i="19"/>
  <c r="AH141" i="19"/>
  <c r="AH162" i="19"/>
  <c r="AH178" i="19"/>
  <c r="AH84" i="19"/>
  <c r="AH100" i="19"/>
  <c r="AH142" i="19"/>
  <c r="AH158" i="19"/>
  <c r="AH93" i="19"/>
  <c r="AH101" i="19"/>
  <c r="AH133" i="19"/>
  <c r="AH176" i="19"/>
  <c r="AH160" i="19"/>
  <c r="AH117" i="19"/>
  <c r="AH21" i="19"/>
  <c r="AH144" i="19"/>
  <c r="AH85" i="19"/>
  <c r="AL14" i="19"/>
  <c r="AL18" i="19"/>
  <c r="AL22" i="19"/>
  <c r="AL26" i="19"/>
  <c r="AL34" i="19"/>
  <c r="AL38" i="19"/>
  <c r="AL42" i="19"/>
  <c r="AL50" i="19"/>
  <c r="AL54" i="19"/>
  <c r="AL58" i="19"/>
  <c r="AL62" i="19"/>
  <c r="AL66" i="19"/>
  <c r="AL70" i="19"/>
  <c r="AL74" i="19"/>
  <c r="AL78" i="19"/>
  <c r="AL86" i="19"/>
  <c r="AL90" i="19"/>
  <c r="AL94" i="19"/>
  <c r="AL102" i="19"/>
  <c r="AL106" i="19"/>
  <c r="AL110" i="19"/>
  <c r="AL114" i="19"/>
  <c r="AL118" i="19"/>
  <c r="AL122" i="19"/>
  <c r="AL126" i="19"/>
  <c r="AL130" i="19"/>
  <c r="AL134" i="19"/>
  <c r="AL142" i="19"/>
  <c r="AL146" i="19"/>
  <c r="AL150" i="19"/>
  <c r="AL154" i="19"/>
  <c r="AL158" i="19"/>
  <c r="AL162" i="19"/>
  <c r="AL166" i="19"/>
  <c r="AL170" i="19"/>
  <c r="AL178" i="19"/>
  <c r="AL15" i="19"/>
  <c r="AL23" i="19"/>
  <c r="AL27" i="19"/>
  <c r="AL35" i="19"/>
  <c r="AL39" i="19"/>
  <c r="AL43" i="19"/>
  <c r="AL51" i="19"/>
  <c r="AL55" i="19"/>
  <c r="AL59" i="19"/>
  <c r="AL63" i="19"/>
  <c r="AL67" i="19"/>
  <c r="AL71" i="19"/>
  <c r="AL75" i="19"/>
  <c r="AL83" i="19"/>
  <c r="AL87" i="19"/>
  <c r="AL103" i="19"/>
  <c r="AL107" i="19"/>
  <c r="AL111" i="19"/>
  <c r="AL119" i="19"/>
  <c r="AL123" i="19"/>
  <c r="AL127" i="19"/>
  <c r="AL135" i="19"/>
  <c r="AL143" i="19"/>
  <c r="AL147" i="19"/>
  <c r="AL163" i="19"/>
  <c r="AL167" i="19"/>
  <c r="AL171" i="19"/>
  <c r="AL179" i="19"/>
  <c r="AL183" i="19"/>
  <c r="AL36" i="19"/>
  <c r="AL44" i="19"/>
  <c r="AL52" i="19"/>
  <c r="AL60" i="19"/>
  <c r="AL68" i="19"/>
  <c r="AL76" i="19"/>
  <c r="AL84" i="19"/>
  <c r="AL100" i="19"/>
  <c r="AL108" i="19"/>
  <c r="AL124" i="19"/>
  <c r="AL140" i="19"/>
  <c r="AL148" i="19"/>
  <c r="AL164" i="19"/>
  <c r="AL172" i="19"/>
  <c r="AL21" i="19"/>
  <c r="AL37" i="19"/>
  <c r="AL45" i="19"/>
  <c r="AL53" i="19"/>
  <c r="AL61" i="19"/>
  <c r="AL69" i="19"/>
  <c r="AL77" i="19"/>
  <c r="AL85" i="19"/>
  <c r="AL93" i="19"/>
  <c r="AL101" i="19"/>
  <c r="AL109" i="19"/>
  <c r="AL117" i="19"/>
  <c r="AL125" i="19"/>
  <c r="AL133" i="19"/>
  <c r="AL141" i="19"/>
  <c r="AL149" i="19"/>
  <c r="AL165" i="19"/>
  <c r="AL173" i="19"/>
  <c r="AL16" i="19"/>
  <c r="AL32" i="19"/>
  <c r="AL40" i="19"/>
  <c r="AL56" i="19"/>
  <c r="AL72" i="19"/>
  <c r="AL104" i="19"/>
  <c r="AL112" i="19"/>
  <c r="AL120" i="19"/>
  <c r="AL128" i="19"/>
  <c r="AL144" i="19"/>
  <c r="AL152" i="19"/>
  <c r="AL160" i="19"/>
  <c r="AL168" i="19"/>
  <c r="AL176" i="19"/>
  <c r="AL25" i="19"/>
  <c r="AL57" i="19"/>
  <c r="AL89" i="19"/>
  <c r="AL121" i="19"/>
  <c r="AL153" i="19"/>
  <c r="AL33" i="19"/>
  <c r="AL129" i="19"/>
  <c r="AL161" i="19"/>
  <c r="AL41" i="19"/>
  <c r="AL73" i="19"/>
  <c r="AL105" i="19"/>
  <c r="AL169" i="19"/>
  <c r="AL49" i="19"/>
  <c r="AL177" i="19"/>
  <c r="AL113" i="19"/>
  <c r="AL17" i="19"/>
  <c r="AL145" i="19"/>
  <c r="AG16" i="19"/>
  <c r="AG32" i="19"/>
  <c r="AG84" i="19"/>
  <c r="AG100" i="19"/>
  <c r="AG140" i="19"/>
  <c r="AG144" i="19"/>
  <c r="AG160" i="19"/>
  <c r="AG17" i="19"/>
  <c r="AG21" i="19"/>
  <c r="AG25" i="19"/>
  <c r="AG33" i="19"/>
  <c r="AG49" i="19"/>
  <c r="AG85" i="19"/>
  <c r="AG89" i="19"/>
  <c r="AG93" i="19"/>
  <c r="AG101" i="19"/>
  <c r="AG117" i="19"/>
  <c r="AG133" i="19"/>
  <c r="AG141" i="19"/>
  <c r="AG161" i="19"/>
  <c r="AG18" i="19"/>
  <c r="AG34" i="19"/>
  <c r="AG50" i="19"/>
  <c r="AG66" i="19"/>
  <c r="AG90" i="19"/>
  <c r="AG162" i="19"/>
  <c r="AG51" i="19"/>
  <c r="AG67" i="19"/>
  <c r="AG83" i="19"/>
  <c r="AG14" i="19"/>
  <c r="AG86" i="19"/>
  <c r="AG102" i="19"/>
  <c r="AG118" i="19"/>
  <c r="AG134" i="19"/>
  <c r="AG142" i="19"/>
  <c r="AG158" i="19"/>
  <c r="AG103" i="19"/>
  <c r="AG135" i="19"/>
  <c r="AG15" i="19"/>
  <c r="AG143" i="19"/>
  <c r="AG119" i="19"/>
  <c r="AG159" i="19"/>
  <c r="V148" i="19"/>
  <c r="N88" i="19"/>
  <c r="V87" i="19"/>
  <c r="Y87" i="19"/>
  <c r="Z87" i="19" s="1"/>
  <c r="BC111" i="19"/>
  <c r="BC171" i="19"/>
  <c r="BC107" i="19"/>
  <c r="BC43" i="19"/>
  <c r="BC51" i="19"/>
  <c r="BC135" i="19"/>
  <c r="BC71" i="19"/>
  <c r="BC166" i="19"/>
  <c r="BC150" i="19"/>
  <c r="BC134" i="19"/>
  <c r="BC118" i="19"/>
  <c r="BC102" i="19"/>
  <c r="BC86" i="19"/>
  <c r="BC70" i="19"/>
  <c r="BC54" i="19"/>
  <c r="BC38" i="19"/>
  <c r="BC22" i="19"/>
  <c r="BC161" i="19"/>
  <c r="BC117" i="19"/>
  <c r="BC133" i="19"/>
  <c r="BC109" i="19"/>
  <c r="BC89" i="19"/>
  <c r="BC61" i="19"/>
  <c r="BC37" i="19"/>
  <c r="BC17" i="19"/>
  <c r="BC168" i="19"/>
  <c r="BC152" i="19"/>
  <c r="BC120" i="19"/>
  <c r="BC104" i="19"/>
  <c r="BC72" i="19"/>
  <c r="BC56" i="19"/>
  <c r="BC40" i="19"/>
  <c r="AX159" i="19"/>
  <c r="AX89" i="19"/>
  <c r="AX67" i="19"/>
  <c r="AX25" i="19"/>
  <c r="AX178" i="19"/>
  <c r="AX135" i="19"/>
  <c r="AX93" i="19"/>
  <c r="AX50" i="19"/>
  <c r="AX177" i="19"/>
  <c r="AX134" i="19"/>
  <c r="AX49" i="19"/>
  <c r="AX176" i="19"/>
  <c r="AX160" i="19"/>
  <c r="AX144" i="19"/>
  <c r="AX32" i="19"/>
  <c r="Y35" i="19"/>
  <c r="Z35" i="19" s="1"/>
  <c r="P108" i="19"/>
  <c r="W108" i="19" s="1"/>
  <c r="AZ108" i="19" s="1"/>
  <c r="W107" i="19"/>
  <c r="V136" i="19"/>
  <c r="AD136" i="19" s="1"/>
  <c r="Z136" i="19"/>
  <c r="AP136" i="19" s="1"/>
  <c r="Y75" i="19"/>
  <c r="N20" i="19"/>
  <c r="V19" i="19"/>
  <c r="Y19" i="19"/>
  <c r="Z19" i="19" s="1"/>
  <c r="BA151" i="19"/>
  <c r="N96" i="19"/>
  <c r="Y95" i="19"/>
  <c r="BB95" i="19"/>
  <c r="V22" i="19"/>
  <c r="AI22" i="19" s="1"/>
  <c r="AW14" i="19"/>
  <c r="AW18" i="19"/>
  <c r="AW34" i="19"/>
  <c r="AW50" i="19"/>
  <c r="AW66" i="19"/>
  <c r="AW86" i="19"/>
  <c r="AW90" i="19"/>
  <c r="AW102" i="19"/>
  <c r="AW118" i="19"/>
  <c r="AW134" i="19"/>
  <c r="AW142" i="19"/>
  <c r="AW158" i="19"/>
  <c r="AW162" i="19"/>
  <c r="AW16" i="19"/>
  <c r="AW21" i="19"/>
  <c r="AW32" i="19"/>
  <c r="AW85" i="19"/>
  <c r="AW101" i="19"/>
  <c r="AW117" i="19"/>
  <c r="AW133" i="19"/>
  <c r="AW144" i="19"/>
  <c r="AW160" i="19"/>
  <c r="AW17" i="19"/>
  <c r="AW33" i="19"/>
  <c r="AW49" i="19"/>
  <c r="AW103" i="19"/>
  <c r="AW119" i="19"/>
  <c r="AW135" i="19"/>
  <c r="AW140" i="19"/>
  <c r="AW161" i="19"/>
  <c r="AW51" i="19"/>
  <c r="AW67" i="19"/>
  <c r="AW83" i="19"/>
  <c r="AW93" i="19"/>
  <c r="AW141" i="19"/>
  <c r="AW179" i="19"/>
  <c r="AW25" i="19"/>
  <c r="AW89" i="19"/>
  <c r="AW159" i="19"/>
  <c r="AW15" i="19"/>
  <c r="AW100" i="19"/>
  <c r="AW143" i="19"/>
  <c r="AW84" i="19"/>
  <c r="BG49" i="19"/>
  <c r="BG101" i="19"/>
  <c r="BG117" i="19"/>
  <c r="BG83" i="19"/>
  <c r="BG51" i="19"/>
  <c r="BG90" i="19"/>
  <c r="BG100" i="19"/>
  <c r="BG84" i="19"/>
  <c r="AU101" i="19"/>
  <c r="AU125" i="19"/>
  <c r="AU53" i="19"/>
  <c r="AU109" i="19"/>
  <c r="AU148" i="19"/>
  <c r="AU84" i="19"/>
  <c r="AU52" i="19"/>
  <c r="AU20" i="19"/>
  <c r="AU161" i="19"/>
  <c r="AU129" i="19"/>
  <c r="AU97" i="19"/>
  <c r="AU33" i="19"/>
  <c r="AU144" i="19"/>
  <c r="AU112" i="19"/>
  <c r="AU80" i="19"/>
  <c r="AU16" i="19"/>
  <c r="AU143" i="19"/>
  <c r="AU127" i="19"/>
  <c r="AU111" i="19"/>
  <c r="AU95" i="19"/>
  <c r="AU79" i="19"/>
  <c r="AU63" i="19"/>
  <c r="AU15" i="19"/>
  <c r="AU170" i="19"/>
  <c r="AU154" i="19"/>
  <c r="AU122" i="19"/>
  <c r="AU106" i="19"/>
  <c r="AU90" i="19"/>
  <c r="AU74" i="19"/>
  <c r="AU58" i="19"/>
  <c r="AU42" i="19"/>
  <c r="V52" i="19"/>
  <c r="Z52" i="19"/>
  <c r="AW52" i="19" s="1"/>
  <c r="BA119" i="19"/>
  <c r="BA147" i="19"/>
  <c r="BA83" i="19"/>
  <c r="BA87" i="19"/>
  <c r="BA111" i="19"/>
  <c r="BA171" i="19"/>
  <c r="BA107" i="19"/>
  <c r="BA43" i="19"/>
  <c r="BA158" i="19"/>
  <c r="BA142" i="19"/>
  <c r="BA126" i="19"/>
  <c r="BA110" i="19"/>
  <c r="BA94" i="19"/>
  <c r="BA78" i="19"/>
  <c r="BA62" i="19"/>
  <c r="BA14" i="19"/>
  <c r="BA165" i="19"/>
  <c r="BA149" i="19"/>
  <c r="BA133" i="19"/>
  <c r="BA117" i="19"/>
  <c r="BA101" i="19"/>
  <c r="BA85" i="19"/>
  <c r="BA69" i="19"/>
  <c r="BA53" i="19"/>
  <c r="BA21" i="19"/>
  <c r="BA160" i="19"/>
  <c r="BA144" i="19"/>
  <c r="BA128" i="19"/>
  <c r="BA112" i="19"/>
  <c r="BA32" i="19"/>
  <c r="J148" i="19"/>
  <c r="Q54" i="21"/>
  <c r="R54" i="21" s="1"/>
  <c r="S54" i="21" s="1"/>
  <c r="T54" i="21" s="1"/>
  <c r="S53" i="21"/>
  <c r="T53" i="21" s="1"/>
  <c r="AD47" i="21"/>
  <c r="AD46" i="21"/>
  <c r="AC46" i="21"/>
  <c r="AB52" i="21"/>
  <c r="AC52" i="21" s="1"/>
  <c r="V52" i="21"/>
  <c r="W47" i="21"/>
  <c r="X47" i="21" s="1"/>
  <c r="W48" i="21" s="1"/>
  <c r="AH46" i="21"/>
  <c r="AQ68" i="21"/>
  <c r="AQ69" i="21" s="1"/>
  <c r="R69" i="21"/>
  <c r="Y69" i="21"/>
  <c r="W69" i="21" s="1"/>
  <c r="M68" i="21" a="1"/>
  <c r="T18" i="22" a="1"/>
  <c r="AN144" i="19" l="1"/>
  <c r="AG22" i="19"/>
  <c r="AP22" i="19"/>
  <c r="AM136" i="19"/>
  <c r="AN22" i="19"/>
  <c r="BG120" i="19"/>
  <c r="AE136" i="19"/>
  <c r="AX103" i="19"/>
  <c r="AY179" i="19"/>
  <c r="BD93" i="19"/>
  <c r="AN103" i="19"/>
  <c r="AV120" i="19"/>
  <c r="AI103" i="19"/>
  <c r="BE144" i="19"/>
  <c r="AG87" i="19"/>
  <c r="AW87" i="19"/>
  <c r="AN19" i="19"/>
  <c r="AV144" i="19"/>
  <c r="AI144" i="19"/>
  <c r="AI159" i="19"/>
  <c r="BF25" i="19"/>
  <c r="AQ52" i="19"/>
  <c r="T18" i="22"/>
  <c r="AF23" i="19"/>
  <c r="AN23" i="19"/>
  <c r="AP23" i="19"/>
  <c r="AV23" i="19"/>
  <c r="BE23" i="19"/>
  <c r="AI23" i="19"/>
  <c r="AQ23" i="19"/>
  <c r="AW23" i="19"/>
  <c r="AH23" i="19"/>
  <c r="AX23" i="19"/>
  <c r="AG23" i="19"/>
  <c r="AV103" i="19"/>
  <c r="BE87" i="19"/>
  <c r="BE159" i="19"/>
  <c r="AY103" i="19"/>
  <c r="AF35" i="19"/>
  <c r="BF35" i="19"/>
  <c r="AV35" i="19"/>
  <c r="BD35" i="19"/>
  <c r="AY35" i="19"/>
  <c r="AO35" i="19"/>
  <c r="AX35" i="19"/>
  <c r="BG35" i="19"/>
  <c r="AN35" i="19"/>
  <c r="AI35" i="19"/>
  <c r="AQ35" i="19"/>
  <c r="AW35" i="19"/>
  <c r="AH35" i="19"/>
  <c r="AG35" i="19"/>
  <c r="BE35" i="19"/>
  <c r="AP35" i="19"/>
  <c r="AF19" i="19"/>
  <c r="AX19" i="19"/>
  <c r="AY19" i="19"/>
  <c r="AG19" i="19"/>
  <c r="AV19" i="19"/>
  <c r="AI19" i="19"/>
  <c r="AW19" i="19"/>
  <c r="AH19" i="19"/>
  <c r="AF91" i="19"/>
  <c r="AY91" i="19"/>
  <c r="AV91" i="19"/>
  <c r="AW91" i="19"/>
  <c r="AI91" i="19"/>
  <c r="AH91" i="19"/>
  <c r="AG91" i="19"/>
  <c r="AX91" i="19"/>
  <c r="AM19" i="19"/>
  <c r="AJ91" i="19"/>
  <c r="BA91" i="19"/>
  <c r="AO91" i="19"/>
  <c r="AZ91" i="19"/>
  <c r="BC91" i="19"/>
  <c r="AK91" i="19"/>
  <c r="BB91" i="19"/>
  <c r="BF91" i="19"/>
  <c r="BG91" i="19"/>
  <c r="AP19" i="19"/>
  <c r="V137" i="19"/>
  <c r="Z137" i="19"/>
  <c r="J89" i="19"/>
  <c r="AF183" i="19"/>
  <c r="AY183" i="19"/>
  <c r="AV183" i="19"/>
  <c r="V104" i="19"/>
  <c r="Z104" i="19"/>
  <c r="BE91" i="19"/>
  <c r="AX120" i="19"/>
  <c r="AO120" i="19"/>
  <c r="BA79" i="19"/>
  <c r="AJ79" i="19"/>
  <c r="BC79" i="19"/>
  <c r="AX183" i="19"/>
  <c r="BA19" i="19"/>
  <c r="AF136" i="19"/>
  <c r="AO136" i="19"/>
  <c r="AG120" i="19"/>
  <c r="AH120" i="19"/>
  <c r="AH22" i="19"/>
  <c r="AP159" i="19"/>
  <c r="AQ22" i="19"/>
  <c r="AQ19" i="19"/>
  <c r="AI87" i="19"/>
  <c r="AN136" i="19"/>
  <c r="AN183" i="19"/>
  <c r="AN87" i="19"/>
  <c r="AD183" i="19"/>
  <c r="AT183" i="19"/>
  <c r="BA44" i="19"/>
  <c r="AR44" i="19"/>
  <c r="AS44" i="19"/>
  <c r="AU44" i="19"/>
  <c r="BB44" i="19"/>
  <c r="BC179" i="19"/>
  <c r="BE120" i="19"/>
  <c r="V68" i="19"/>
  <c r="Z68" i="19"/>
  <c r="AZ151" i="19"/>
  <c r="AZ79" i="19"/>
  <c r="V94" i="19"/>
  <c r="Z94" i="19"/>
  <c r="N81" i="19"/>
  <c r="AT44" i="19"/>
  <c r="AY120" i="19"/>
  <c r="AJ151" i="19"/>
  <c r="BC151" i="19"/>
  <c r="BA108" i="19"/>
  <c r="AU108" i="19"/>
  <c r="AR108" i="19"/>
  <c r="AS108" i="19"/>
  <c r="BB108" i="19"/>
  <c r="AL151" i="19"/>
  <c r="AJ155" i="19"/>
  <c r="BA155" i="19"/>
  <c r="BB155" i="19"/>
  <c r="AZ155" i="19"/>
  <c r="AK155" i="19"/>
  <c r="BC155" i="19"/>
  <c r="AQ91" i="19"/>
  <c r="AN91" i="19"/>
  <c r="AF179" i="19"/>
  <c r="AO179" i="19"/>
  <c r="BE179" i="19"/>
  <c r="AJ115" i="19"/>
  <c r="BA115" i="19"/>
  <c r="AK115" i="19"/>
  <c r="AZ115" i="19"/>
  <c r="Z53" i="19"/>
  <c r="V53" i="19"/>
  <c r="BG19" i="19"/>
  <c r="AV22" i="19"/>
  <c r="BE22" i="19"/>
  <c r="AJ75" i="19"/>
  <c r="BA75" i="19"/>
  <c r="BC75" i="19"/>
  <c r="AZ75" i="19"/>
  <c r="BB75" i="19"/>
  <c r="AK75" i="19"/>
  <c r="AJ37" i="19"/>
  <c r="AK37" i="19"/>
  <c r="AG136" i="19"/>
  <c r="AL19" i="19"/>
  <c r="AH52" i="19"/>
  <c r="AH159" i="19"/>
  <c r="AM159" i="19"/>
  <c r="AM75" i="19"/>
  <c r="AX179" i="19"/>
  <c r="BA179" i="19"/>
  <c r="AS179" i="19"/>
  <c r="AR179" i="19"/>
  <c r="BB179" i="19"/>
  <c r="BF179" i="19"/>
  <c r="AZ179" i="19"/>
  <c r="AV179" i="19"/>
  <c r="J149" i="19"/>
  <c r="BA37" i="19"/>
  <c r="AF52" i="19"/>
  <c r="BF52" i="19"/>
  <c r="AO52" i="19"/>
  <c r="BD52" i="19"/>
  <c r="AY52" i="19"/>
  <c r="AV52" i="19"/>
  <c r="BE52" i="19"/>
  <c r="AU159" i="19"/>
  <c r="AU179" i="19"/>
  <c r="BG52" i="19"/>
  <c r="BG179" i="19"/>
  <c r="BG87" i="19"/>
  <c r="AW120" i="19"/>
  <c r="AW183" i="19"/>
  <c r="AW22" i="19"/>
  <c r="BA95" i="19"/>
  <c r="AJ95" i="19"/>
  <c r="AK95" i="19"/>
  <c r="BC95" i="19"/>
  <c r="N97" i="19"/>
  <c r="Y96" i="19"/>
  <c r="Y36" i="19"/>
  <c r="Z36" i="19" s="1"/>
  <c r="AJ87" i="19"/>
  <c r="AO87" i="19"/>
  <c r="BB87" i="19"/>
  <c r="BF87" i="19"/>
  <c r="BD87" i="19"/>
  <c r="V88" i="19"/>
  <c r="Y88" i="19"/>
  <c r="Z88" i="19" s="1"/>
  <c r="AG179" i="19"/>
  <c r="AG52" i="19"/>
  <c r="AL136" i="19"/>
  <c r="AL159" i="19"/>
  <c r="AL95" i="19"/>
  <c r="AL79" i="19"/>
  <c r="AH136" i="19"/>
  <c r="AM37" i="19"/>
  <c r="AX52" i="19"/>
  <c r="AR180" i="19"/>
  <c r="AS180" i="19"/>
  <c r="AP52" i="19"/>
  <c r="AP91" i="19"/>
  <c r="AQ120" i="19"/>
  <c r="AE179" i="19"/>
  <c r="AE159" i="19"/>
  <c r="AI120" i="19"/>
  <c r="AN52" i="19"/>
  <c r="AN179" i="19"/>
  <c r="N29" i="19"/>
  <c r="Y28" i="19"/>
  <c r="AD42" i="19"/>
  <c r="BB42" i="19"/>
  <c r="AF159" i="19"/>
  <c r="AY159" i="19"/>
  <c r="AV159" i="19"/>
  <c r="AK151" i="19"/>
  <c r="AZ37" i="19"/>
  <c r="AZ95" i="19"/>
  <c r="BG103" i="19"/>
  <c r="V121" i="19"/>
  <c r="Z121" i="19"/>
  <c r="BA172" i="19"/>
  <c r="AU172" i="19"/>
  <c r="AR172" i="19"/>
  <c r="AS172" i="19"/>
  <c r="BB172" i="19"/>
  <c r="BB151" i="19"/>
  <c r="BB79" i="19"/>
  <c r="AJ23" i="19"/>
  <c r="AO23" i="19"/>
  <c r="BG23" i="19"/>
  <c r="BA23" i="19"/>
  <c r="BF23" i="19"/>
  <c r="V24" i="19"/>
  <c r="Y24" i="19"/>
  <c r="Z24" i="19" s="1"/>
  <c r="AF162" i="19"/>
  <c r="BD162" i="19"/>
  <c r="BF162" i="19"/>
  <c r="BG162" i="19"/>
  <c r="AY162" i="19"/>
  <c r="AV162" i="19"/>
  <c r="AO162" i="19"/>
  <c r="AJ63" i="19"/>
  <c r="BA63" i="19"/>
  <c r="BB63" i="19"/>
  <c r="AK63" i="19"/>
  <c r="AT159" i="19"/>
  <c r="AT172" i="19"/>
  <c r="BD179" i="19"/>
  <c r="BD91" i="19"/>
  <c r="BD23" i="19"/>
  <c r="AJ19" i="19"/>
  <c r="AO19" i="19"/>
  <c r="BD19" i="19"/>
  <c r="BB19" i="19"/>
  <c r="AZ19" i="19"/>
  <c r="AK19" i="19"/>
  <c r="BF19" i="19"/>
  <c r="AF87" i="19"/>
  <c r="AX87" i="19"/>
  <c r="AV87" i="19"/>
  <c r="AY87" i="19"/>
  <c r="V20" i="19"/>
  <c r="Y20" i="19"/>
  <c r="Z20" i="19" s="1"/>
  <c r="AS107" i="19"/>
  <c r="AU107" i="19"/>
  <c r="AR107" i="19"/>
  <c r="BB107" i="19"/>
  <c r="AZ107" i="19"/>
  <c r="AT107" i="19"/>
  <c r="V149" i="19"/>
  <c r="AG183" i="19"/>
  <c r="AL155" i="19"/>
  <c r="AL91" i="19"/>
  <c r="AH183" i="19"/>
  <c r="AH87" i="19"/>
  <c r="AM151" i="19"/>
  <c r="AM79" i="19"/>
  <c r="AM155" i="19"/>
  <c r="AM91" i="19"/>
  <c r="BC108" i="19"/>
  <c r="BC19" i="19"/>
  <c r="V92" i="19"/>
  <c r="Y92" i="19"/>
  <c r="Z92" i="19" s="1"/>
  <c r="Y126" i="19"/>
  <c r="AP120" i="19"/>
  <c r="AP183" i="19"/>
  <c r="AP87" i="19"/>
  <c r="AQ183" i="19"/>
  <c r="AQ87" i="19"/>
  <c r="AQ159" i="19"/>
  <c r="AQ179" i="19"/>
  <c r="AQ136" i="19"/>
  <c r="AI52" i="19"/>
  <c r="AI179" i="19"/>
  <c r="AI136" i="19"/>
  <c r="AI183" i="19"/>
  <c r="AN120" i="19"/>
  <c r="BG159" i="19"/>
  <c r="V36" i="19"/>
  <c r="AJ27" i="19"/>
  <c r="BA27" i="19"/>
  <c r="BC27" i="19"/>
  <c r="BB27" i="19"/>
  <c r="AZ27" i="19"/>
  <c r="AK27" i="19"/>
  <c r="AJ183" i="19"/>
  <c r="AO183" i="19"/>
  <c r="BC183" i="19"/>
  <c r="BD183" i="19"/>
  <c r="BG183" i="19"/>
  <c r="AK183" i="19"/>
  <c r="BB183" i="19"/>
  <c r="BF183" i="19"/>
  <c r="AJ159" i="19"/>
  <c r="BA159" i="19"/>
  <c r="AK159" i="19"/>
  <c r="AO159" i="19"/>
  <c r="BF159" i="19"/>
  <c r="BB159" i="19"/>
  <c r="BC159" i="19"/>
  <c r="BD159" i="19"/>
  <c r="Y78" i="19"/>
  <c r="BE183" i="19"/>
  <c r="BE19" i="19"/>
  <c r="AK87" i="19"/>
  <c r="AF144" i="19"/>
  <c r="AO144" i="19"/>
  <c r="BD144" i="19"/>
  <c r="AY144" i="19"/>
  <c r="BF144" i="19"/>
  <c r="AZ183" i="19"/>
  <c r="AZ87" i="19"/>
  <c r="BA180" i="19"/>
  <c r="BA183" i="19"/>
  <c r="AU183" i="19"/>
  <c r="BA181" i="19"/>
  <c r="AJ181" i="19"/>
  <c r="AZ181" i="19"/>
  <c r="AK181" i="19"/>
  <c r="AT108" i="19"/>
  <c r="J165" i="19"/>
  <c r="BD120" i="19"/>
  <c r="J72" i="19"/>
  <c r="J37" i="19"/>
  <c r="V180" i="19"/>
  <c r="Z180" i="19"/>
  <c r="AS43" i="19"/>
  <c r="AU43" i="19"/>
  <c r="AR43" i="19"/>
  <c r="AF103" i="19"/>
  <c r="BE103" i="19"/>
  <c r="AK147" i="19"/>
  <c r="AZ147" i="19"/>
  <c r="AZ131" i="19"/>
  <c r="AF120" i="19"/>
  <c r="AF22" i="19"/>
  <c r="AF93" i="19"/>
  <c r="AT171" i="19"/>
  <c r="Y105" i="19"/>
  <c r="BA135" i="19"/>
  <c r="AS135" i="19"/>
  <c r="AU135" i="19"/>
  <c r="AR135" i="19"/>
  <c r="BF103" i="19"/>
  <c r="BF93" i="19"/>
  <c r="BF22" i="19"/>
  <c r="AJ71" i="19"/>
  <c r="BA71" i="19"/>
  <c r="BA173" i="19"/>
  <c r="AU173" i="19"/>
  <c r="AS173" i="19"/>
  <c r="AC173" i="19"/>
  <c r="AO103" i="19"/>
  <c r="AO22" i="19"/>
  <c r="AO93" i="19"/>
  <c r="V163" i="19"/>
  <c r="Z163" i="19"/>
  <c r="AT43" i="19"/>
  <c r="J121" i="19"/>
  <c r="AY25" i="19"/>
  <c r="AY22" i="19"/>
  <c r="BG22" i="19"/>
  <c r="BD67" i="19"/>
  <c r="BD103" i="19"/>
  <c r="BD22" i="19"/>
  <c r="P137" i="19"/>
  <c r="W137" i="19" s="1"/>
  <c r="W136" i="19"/>
  <c r="BF67" i="19"/>
  <c r="BF120" i="19"/>
  <c r="M175" i="19"/>
  <c r="X174" i="19"/>
  <c r="AF25" i="19"/>
  <c r="AO25" i="19"/>
  <c r="Y145" i="19"/>
  <c r="Z145" i="19" s="1"/>
  <c r="BA131" i="19"/>
  <c r="AJ131" i="19"/>
  <c r="Y165" i="19"/>
  <c r="AZ43" i="19"/>
  <c r="J21" i="19"/>
  <c r="AS171" i="19"/>
  <c r="AU171" i="19"/>
  <c r="AR171" i="19"/>
  <c r="BB43" i="19"/>
  <c r="J53" i="19"/>
  <c r="N65" i="19"/>
  <c r="Y64" i="19"/>
  <c r="J105" i="19"/>
  <c r="AY67" i="19"/>
  <c r="AY93" i="19"/>
  <c r="AY23" i="19"/>
  <c r="N47" i="19"/>
  <c r="AJ45" i="19"/>
  <c r="BA45" i="19"/>
  <c r="AX22" i="19"/>
  <c r="BF135" i="19"/>
  <c r="V26" i="19"/>
  <c r="Z26" i="19"/>
  <c r="AO67" i="19"/>
  <c r="M68" i="21"/>
  <c r="R48" i="21"/>
  <c r="AI52" i="21"/>
  <c r="X52" i="21"/>
  <c r="AH52" i="21" s="1"/>
  <c r="V53" i="21"/>
  <c r="AB53" i="21"/>
  <c r="AC53" i="21" s="1"/>
  <c r="AE46" i="21"/>
  <c r="AE47" i="21"/>
  <c r="AB54" i="21"/>
  <c r="AC54" i="21" s="1"/>
  <c r="V54" i="21"/>
  <c r="AY180" i="19" l="1"/>
  <c r="AV180" i="19"/>
  <c r="V18" i="22"/>
  <c r="AF20" i="19"/>
  <c r="AY20" i="19"/>
  <c r="AX20" i="19"/>
  <c r="AV20" i="19"/>
  <c r="AG20" i="19"/>
  <c r="AH20" i="19"/>
  <c r="AI20" i="19"/>
  <c r="AW20" i="19"/>
  <c r="V164" i="19"/>
  <c r="Z164" i="19"/>
  <c r="AD180" i="19"/>
  <c r="AL180" i="19"/>
  <c r="AE180" i="19"/>
  <c r="AM180" i="19"/>
  <c r="BA24" i="19"/>
  <c r="AJ24" i="19"/>
  <c r="BC24" i="19"/>
  <c r="BF24" i="19"/>
  <c r="BB24" i="19"/>
  <c r="AZ24" i="19"/>
  <c r="AO24" i="19"/>
  <c r="BE24" i="19"/>
  <c r="AN24" i="19"/>
  <c r="AP24" i="19"/>
  <c r="AM24" i="19"/>
  <c r="AQ24" i="19"/>
  <c r="BG24" i="19"/>
  <c r="BD24" i="19"/>
  <c r="AK24" i="19"/>
  <c r="AL24" i="19"/>
  <c r="AF53" i="19"/>
  <c r="AO53" i="19"/>
  <c r="AX53" i="19"/>
  <c r="BF53" i="19"/>
  <c r="AY53" i="19"/>
  <c r="AV53" i="19"/>
  <c r="BG53" i="19"/>
  <c r="AI53" i="19"/>
  <c r="AQ53" i="19"/>
  <c r="AP53" i="19"/>
  <c r="BE53" i="19"/>
  <c r="AN53" i="19"/>
  <c r="AW53" i="19"/>
  <c r="AH53" i="19"/>
  <c r="BD53" i="19"/>
  <c r="AG53" i="19"/>
  <c r="Z95" i="19"/>
  <c r="V95" i="19"/>
  <c r="Z69" i="19"/>
  <c r="V69" i="19"/>
  <c r="V105" i="19"/>
  <c r="Z105" i="19"/>
  <c r="BA156" i="19"/>
  <c r="AJ156" i="19"/>
  <c r="AK156" i="19"/>
  <c r="AZ156" i="19"/>
  <c r="AF137" i="19"/>
  <c r="AO137" i="19"/>
  <c r="AG137" i="19"/>
  <c r="AI137" i="19"/>
  <c r="AQ137" i="19"/>
  <c r="AH137" i="19"/>
  <c r="AN137" i="19"/>
  <c r="AP137" i="19"/>
  <c r="AF26" i="19"/>
  <c r="AO26" i="19"/>
  <c r="BD26" i="19"/>
  <c r="AY26" i="19"/>
  <c r="BF26" i="19"/>
  <c r="AX26" i="19"/>
  <c r="AN26" i="19"/>
  <c r="AP26" i="19"/>
  <c r="BG26" i="19"/>
  <c r="AG26" i="19"/>
  <c r="AQ26" i="19"/>
  <c r="AV26" i="19"/>
  <c r="BE26" i="19"/>
  <c r="AW26" i="19"/>
  <c r="AI26" i="19"/>
  <c r="AH26" i="19"/>
  <c r="BC180" i="19"/>
  <c r="BF180" i="19"/>
  <c r="AJ88" i="19"/>
  <c r="BA88" i="19"/>
  <c r="BF88" i="19"/>
  <c r="BB88" i="19"/>
  <c r="AZ88" i="19"/>
  <c r="AO88" i="19"/>
  <c r="BG88" i="19"/>
  <c r="AN88" i="19"/>
  <c r="AM88" i="19"/>
  <c r="BC88" i="19"/>
  <c r="BD88" i="19"/>
  <c r="BE88" i="19"/>
  <c r="AK88" i="19"/>
  <c r="AP88" i="19"/>
  <c r="AQ88" i="19"/>
  <c r="AL88" i="19"/>
  <c r="AJ96" i="19"/>
  <c r="AZ96" i="19"/>
  <c r="AK96" i="19"/>
  <c r="BC96" i="19"/>
  <c r="AL96" i="19"/>
  <c r="BA96" i="19"/>
  <c r="BB96" i="19"/>
  <c r="AM96" i="19"/>
  <c r="J22" i="19"/>
  <c r="Y166" i="19"/>
  <c r="Y146" i="19"/>
  <c r="Z146" i="19" s="1"/>
  <c r="J122" i="19"/>
  <c r="AF163" i="19"/>
  <c r="BF163" i="19"/>
  <c r="AY163" i="19"/>
  <c r="AV163" i="19"/>
  <c r="AO163" i="19"/>
  <c r="BD163" i="19"/>
  <c r="AX163" i="19"/>
  <c r="AN163" i="19"/>
  <c r="AI163" i="19"/>
  <c r="AQ163" i="19"/>
  <c r="AW163" i="19"/>
  <c r="BE163" i="19"/>
  <c r="AP163" i="19"/>
  <c r="AG163" i="19"/>
  <c r="BG163" i="19"/>
  <c r="AH163" i="19"/>
  <c r="V181" i="19"/>
  <c r="Z181" i="19"/>
  <c r="J73" i="19"/>
  <c r="Y79" i="19"/>
  <c r="AF36" i="19"/>
  <c r="BF36" i="19"/>
  <c r="AX36" i="19"/>
  <c r="AO36" i="19"/>
  <c r="BD36" i="19"/>
  <c r="AV36" i="19"/>
  <c r="BE36" i="19"/>
  <c r="AH36" i="19"/>
  <c r="AW36" i="19"/>
  <c r="AI36" i="19"/>
  <c r="AQ36" i="19"/>
  <c r="AG36" i="19"/>
  <c r="AN36" i="19"/>
  <c r="AP36" i="19"/>
  <c r="AY36" i="19"/>
  <c r="BG36" i="19"/>
  <c r="Y127" i="19"/>
  <c r="V150" i="19"/>
  <c r="AF121" i="19"/>
  <c r="AV121" i="19"/>
  <c r="AO121" i="19"/>
  <c r="BF121" i="19"/>
  <c r="BE121" i="19"/>
  <c r="AX121" i="19"/>
  <c r="BG121" i="19"/>
  <c r="AG121" i="19"/>
  <c r="AW121" i="19"/>
  <c r="AN121" i="19"/>
  <c r="AI121" i="19"/>
  <c r="AQ121" i="19"/>
  <c r="AP121" i="19"/>
  <c r="AH121" i="19"/>
  <c r="AY121" i="19"/>
  <c r="BD121" i="19"/>
  <c r="Y29" i="19"/>
  <c r="N30" i="19"/>
  <c r="AU180" i="19"/>
  <c r="AX180" i="19"/>
  <c r="Z54" i="19"/>
  <c r="V54" i="19"/>
  <c r="AJ80" i="19"/>
  <c r="AZ80" i="19"/>
  <c r="AK80" i="19"/>
  <c r="BC80" i="19"/>
  <c r="BA80" i="19"/>
  <c r="AM80" i="19"/>
  <c r="AL80" i="19"/>
  <c r="BB80" i="19"/>
  <c r="AF68" i="19"/>
  <c r="BF68" i="19"/>
  <c r="AX68" i="19"/>
  <c r="AO68" i="19"/>
  <c r="BD68" i="19"/>
  <c r="AY68" i="19"/>
  <c r="AV68" i="19"/>
  <c r="BE68" i="19"/>
  <c r="AH68" i="19"/>
  <c r="BG68" i="19"/>
  <c r="AG68" i="19"/>
  <c r="AI68" i="19"/>
  <c r="AQ68" i="19"/>
  <c r="AN68" i="19"/>
  <c r="AP68" i="19"/>
  <c r="AW68" i="19"/>
  <c r="AF104" i="19"/>
  <c r="BG104" i="19"/>
  <c r="BF104" i="19"/>
  <c r="AO104" i="19"/>
  <c r="BE104" i="19"/>
  <c r="AH104" i="19"/>
  <c r="AY104" i="19"/>
  <c r="AV104" i="19"/>
  <c r="AP104" i="19"/>
  <c r="AG104" i="19"/>
  <c r="AW104" i="19"/>
  <c r="AX104" i="19"/>
  <c r="AN104" i="19"/>
  <c r="AI104" i="19"/>
  <c r="AQ104" i="19"/>
  <c r="BD104" i="19"/>
  <c r="AD137" i="19"/>
  <c r="AL137" i="19"/>
  <c r="AE137" i="19"/>
  <c r="AM137" i="19"/>
  <c r="J54" i="19"/>
  <c r="AF145" i="19"/>
  <c r="BD145" i="19"/>
  <c r="BF145" i="19"/>
  <c r="AY145" i="19"/>
  <c r="AX145" i="19"/>
  <c r="AO145" i="19"/>
  <c r="AN145" i="19"/>
  <c r="AP145" i="19"/>
  <c r="BE145" i="19"/>
  <c r="BG145" i="19"/>
  <c r="AH145" i="19"/>
  <c r="AG145" i="19"/>
  <c r="AW145" i="19"/>
  <c r="AQ145" i="19"/>
  <c r="AV145" i="19"/>
  <c r="AI145" i="19"/>
  <c r="J38" i="19"/>
  <c r="AJ92" i="19"/>
  <c r="BA92" i="19"/>
  <c r="AO92" i="19"/>
  <c r="BD92" i="19"/>
  <c r="BE92" i="19"/>
  <c r="BF92" i="19"/>
  <c r="BB92" i="19"/>
  <c r="AK92" i="19"/>
  <c r="AQ92" i="19"/>
  <c r="BC92" i="19"/>
  <c r="AM92" i="19"/>
  <c r="AL92" i="19"/>
  <c r="AZ92" i="19"/>
  <c r="BG92" i="19"/>
  <c r="AN92" i="19"/>
  <c r="AP92" i="19"/>
  <c r="AF24" i="19"/>
  <c r="AY24" i="19"/>
  <c r="AW24" i="19"/>
  <c r="AV24" i="19"/>
  <c r="AG24" i="19"/>
  <c r="AI24" i="19"/>
  <c r="AX24" i="19"/>
  <c r="AH24" i="19"/>
  <c r="AJ28" i="19"/>
  <c r="BA28" i="19"/>
  <c r="BC28" i="19"/>
  <c r="BB28" i="19"/>
  <c r="AM28" i="19"/>
  <c r="AL28" i="19"/>
  <c r="AZ28" i="19"/>
  <c r="AK28" i="19"/>
  <c r="AT180" i="19"/>
  <c r="AF88" i="19"/>
  <c r="AH88" i="19"/>
  <c r="AG88" i="19"/>
  <c r="AV88" i="19"/>
  <c r="AY88" i="19"/>
  <c r="AX88" i="19"/>
  <c r="AI88" i="19"/>
  <c r="AW88" i="19"/>
  <c r="Y37" i="19"/>
  <c r="Z37" i="19" s="1"/>
  <c r="J150" i="19"/>
  <c r="AF94" i="19"/>
  <c r="BF94" i="19"/>
  <c r="AY94" i="19"/>
  <c r="AX94" i="19"/>
  <c r="BG94" i="19"/>
  <c r="AV94" i="19"/>
  <c r="BE94" i="19"/>
  <c r="AO94" i="19"/>
  <c r="BD94" i="19"/>
  <c r="AI94" i="19"/>
  <c r="AQ94" i="19"/>
  <c r="AH94" i="19"/>
  <c r="AG94" i="19"/>
  <c r="AW94" i="19"/>
  <c r="AN94" i="19"/>
  <c r="AP94" i="19"/>
  <c r="J90" i="19"/>
  <c r="V138" i="19"/>
  <c r="Z138" i="19"/>
  <c r="AF92" i="19"/>
  <c r="AY92" i="19"/>
  <c r="AV92" i="19"/>
  <c r="AW92" i="19"/>
  <c r="AX92" i="19"/>
  <c r="AI92" i="19"/>
  <c r="AH92" i="19"/>
  <c r="AG92" i="19"/>
  <c r="V27" i="19"/>
  <c r="Z27" i="19"/>
  <c r="AJ46" i="19"/>
  <c r="BB46" i="19"/>
  <c r="AZ46" i="19"/>
  <c r="AM46" i="19"/>
  <c r="BC46" i="19"/>
  <c r="AL46" i="19"/>
  <c r="BA46" i="19"/>
  <c r="AK46" i="19"/>
  <c r="AJ64" i="19"/>
  <c r="AZ64" i="19"/>
  <c r="AK64" i="19"/>
  <c r="BA64" i="19"/>
  <c r="AJ116" i="19"/>
  <c r="AK116" i="19"/>
  <c r="BA116" i="19"/>
  <c r="AZ116" i="19"/>
  <c r="AS174" i="19"/>
  <c r="AC174" i="19"/>
  <c r="AK174" i="19"/>
  <c r="BA174" i="19"/>
  <c r="AS136" i="19"/>
  <c r="AU136" i="19"/>
  <c r="BA136" i="19"/>
  <c r="AR136" i="19"/>
  <c r="BF136" i="19"/>
  <c r="BB136" i="19"/>
  <c r="AT136" i="19"/>
  <c r="BG136" i="19"/>
  <c r="AZ136" i="19"/>
  <c r="BE136" i="19"/>
  <c r="BC136" i="19"/>
  <c r="AW136" i="19"/>
  <c r="BD136" i="19"/>
  <c r="AV136" i="19"/>
  <c r="AX136" i="19"/>
  <c r="AY136" i="19"/>
  <c r="N48" i="19"/>
  <c r="J106" i="19"/>
  <c r="Y65" i="19"/>
  <c r="M176" i="19"/>
  <c r="X175" i="19"/>
  <c r="AR137" i="19"/>
  <c r="AS137" i="19"/>
  <c r="AT137" i="19"/>
  <c r="AX137" i="19"/>
  <c r="AV137" i="19"/>
  <c r="BF137" i="19"/>
  <c r="AU137" i="19"/>
  <c r="AY137" i="19"/>
  <c r="BB137" i="19"/>
  <c r="BA137" i="19"/>
  <c r="BE137" i="19"/>
  <c r="BC137" i="19"/>
  <c r="BG137" i="19"/>
  <c r="AW137" i="19"/>
  <c r="BD137" i="19"/>
  <c r="AZ137" i="19"/>
  <c r="Y106" i="19"/>
  <c r="AF180" i="19"/>
  <c r="AO180" i="19"/>
  <c r="AQ180" i="19"/>
  <c r="AN180" i="19"/>
  <c r="AI180" i="19"/>
  <c r="AH180" i="19"/>
  <c r="AG180" i="19"/>
  <c r="AW180" i="19"/>
  <c r="BG180" i="19"/>
  <c r="AP180" i="19"/>
  <c r="J166" i="19"/>
  <c r="V37" i="19"/>
  <c r="AJ20" i="19"/>
  <c r="BC20" i="19"/>
  <c r="BF20" i="19"/>
  <c r="BB20" i="19"/>
  <c r="AO20" i="19"/>
  <c r="BD20" i="19"/>
  <c r="AK20" i="19"/>
  <c r="BE20" i="19"/>
  <c r="BG20" i="19"/>
  <c r="AL20" i="19"/>
  <c r="AN20" i="19"/>
  <c r="AP20" i="19"/>
  <c r="BA20" i="19"/>
  <c r="AZ20" i="19"/>
  <c r="AQ20" i="19"/>
  <c r="AM20" i="19"/>
  <c r="V122" i="19"/>
  <c r="Z122" i="19"/>
  <c r="BE180" i="19"/>
  <c r="BD180" i="19"/>
  <c r="BB180" i="19"/>
  <c r="Y97" i="19"/>
  <c r="N98" i="19"/>
  <c r="N82" i="19"/>
  <c r="AI54" i="21"/>
  <c r="X54" i="21"/>
  <c r="AH54" i="21" s="1"/>
  <c r="Q49" i="21"/>
  <c r="R49" i="21" s="1"/>
  <c r="S48" i="21"/>
  <c r="AI53" i="21"/>
  <c r="X53" i="21"/>
  <c r="AH53" i="21" s="1"/>
  <c r="Q71" i="21"/>
  <c r="R71" i="21"/>
  <c r="Y71" i="21"/>
  <c r="M70" i="21" a="1"/>
  <c r="L70" i="21" a="1"/>
  <c r="X18" i="22" l="1"/>
  <c r="V123" i="19"/>
  <c r="Z123" i="19"/>
  <c r="J167" i="19"/>
  <c r="J39" i="19"/>
  <c r="V151" i="19"/>
  <c r="Y80" i="19"/>
  <c r="AD181" i="19"/>
  <c r="AU181" i="19"/>
  <c r="AT181" i="19"/>
  <c r="AE181" i="19"/>
  <c r="AM181" i="19"/>
  <c r="AL181" i="19"/>
  <c r="BC181" i="19"/>
  <c r="BB181" i="19"/>
  <c r="AF146" i="19"/>
  <c r="BD146" i="19"/>
  <c r="AO146" i="19"/>
  <c r="BF146" i="19"/>
  <c r="AX146" i="19"/>
  <c r="AY146" i="19"/>
  <c r="AV146" i="19"/>
  <c r="AG146" i="19"/>
  <c r="AW146" i="19"/>
  <c r="AI146" i="19"/>
  <c r="AP146" i="19"/>
  <c r="BG146" i="19"/>
  <c r="AQ146" i="19"/>
  <c r="BE146" i="19"/>
  <c r="AN146" i="19"/>
  <c r="AH146" i="19"/>
  <c r="J23" i="19"/>
  <c r="AF105" i="19"/>
  <c r="BF105" i="19"/>
  <c r="BG105" i="19"/>
  <c r="AO105" i="19"/>
  <c r="AX105" i="19"/>
  <c r="BD105" i="19"/>
  <c r="AY105" i="19"/>
  <c r="AP105" i="19"/>
  <c r="AG105" i="19"/>
  <c r="AV105" i="19"/>
  <c r="BE105" i="19"/>
  <c r="AI105" i="19"/>
  <c r="AQ105" i="19"/>
  <c r="AH105" i="19"/>
  <c r="AW105" i="19"/>
  <c r="AN105" i="19"/>
  <c r="V96" i="19"/>
  <c r="Z96" i="19"/>
  <c r="AJ81" i="19"/>
  <c r="BA81" i="19"/>
  <c r="AZ81" i="19"/>
  <c r="AK81" i="19"/>
  <c r="Z28" i="19"/>
  <c r="V28" i="19"/>
  <c r="J91" i="19"/>
  <c r="AF54" i="19"/>
  <c r="BG54" i="19"/>
  <c r="BE54" i="19"/>
  <c r="BD54" i="19"/>
  <c r="AO54" i="19"/>
  <c r="BF54" i="19"/>
  <c r="AV54" i="19"/>
  <c r="AY54" i="19"/>
  <c r="AQ54" i="19"/>
  <c r="AW54" i="19"/>
  <c r="AH54" i="19"/>
  <c r="AX54" i="19"/>
  <c r="AN54" i="19"/>
  <c r="AG54" i="19"/>
  <c r="AP54" i="19"/>
  <c r="AI54" i="19"/>
  <c r="N31" i="19"/>
  <c r="Y30" i="19"/>
  <c r="BA29" i="19"/>
  <c r="AJ29" i="19"/>
  <c r="AK29" i="19"/>
  <c r="BB29" i="19"/>
  <c r="AZ29" i="19"/>
  <c r="BC29" i="19"/>
  <c r="AL29" i="19"/>
  <c r="AM29" i="19"/>
  <c r="J74" i="19"/>
  <c r="V182" i="19"/>
  <c r="Z182" i="19"/>
  <c r="Y147" i="19"/>
  <c r="Z147" i="19" s="1"/>
  <c r="AF69" i="19"/>
  <c r="AO69" i="19"/>
  <c r="BD69" i="19"/>
  <c r="AY69" i="19"/>
  <c r="BF69" i="19"/>
  <c r="AI69" i="19"/>
  <c r="AQ69" i="19"/>
  <c r="AW69" i="19"/>
  <c r="BG69" i="19"/>
  <c r="AG69" i="19"/>
  <c r="AH69" i="19"/>
  <c r="AX69" i="19"/>
  <c r="AN69" i="19"/>
  <c r="AV69" i="19"/>
  <c r="BE69" i="19"/>
  <c r="AP69" i="19"/>
  <c r="V165" i="19"/>
  <c r="Z165" i="19"/>
  <c r="Y107" i="19"/>
  <c r="J107" i="19"/>
  <c r="V139" i="19"/>
  <c r="Z139" i="19"/>
  <c r="N99" i="19"/>
  <c r="Y98" i="19"/>
  <c r="BA97" i="19"/>
  <c r="AJ97" i="19"/>
  <c r="BB97" i="19"/>
  <c r="AZ97" i="19"/>
  <c r="BC97" i="19"/>
  <c r="AM97" i="19"/>
  <c r="AK97" i="19"/>
  <c r="AL97" i="19"/>
  <c r="AF122" i="19"/>
  <c r="AY122" i="19"/>
  <c r="AO122" i="19"/>
  <c r="BD122" i="19"/>
  <c r="BF122" i="19"/>
  <c r="AN122" i="19"/>
  <c r="AV122" i="19"/>
  <c r="BE122" i="19"/>
  <c r="AQ122" i="19"/>
  <c r="AG122" i="19"/>
  <c r="AX122" i="19"/>
  <c r="BG122" i="19"/>
  <c r="AH122" i="19"/>
  <c r="AW122" i="19"/>
  <c r="AI122" i="19"/>
  <c r="AP122" i="19"/>
  <c r="AF37" i="19"/>
  <c r="AI37" i="19"/>
  <c r="AH37" i="19"/>
  <c r="AW37" i="19"/>
  <c r="AY37" i="19"/>
  <c r="AG37" i="19"/>
  <c r="AX37" i="19"/>
  <c r="AV37" i="19"/>
  <c r="AQ37" i="19"/>
  <c r="AN37" i="19"/>
  <c r="BD37" i="19"/>
  <c r="BG37" i="19"/>
  <c r="BE37" i="19"/>
  <c r="BF37" i="19"/>
  <c r="AP37" i="19"/>
  <c r="AO37" i="19"/>
  <c r="AC175" i="19"/>
  <c r="AS175" i="19"/>
  <c r="BA175" i="19"/>
  <c r="AK175" i="19"/>
  <c r="AJ47" i="19"/>
  <c r="BA47" i="19"/>
  <c r="AZ47" i="19"/>
  <c r="AK47" i="19"/>
  <c r="AF138" i="19"/>
  <c r="AO138" i="19"/>
  <c r="AY138" i="19"/>
  <c r="BD138" i="19"/>
  <c r="AX138" i="19"/>
  <c r="AV138" i="19"/>
  <c r="BF138" i="19"/>
  <c r="BE138" i="19"/>
  <c r="AN138" i="19"/>
  <c r="AQ138" i="19"/>
  <c r="AI138" i="19"/>
  <c r="AH138" i="19"/>
  <c r="BG138" i="19"/>
  <c r="AP138" i="19"/>
  <c r="AW138" i="19"/>
  <c r="AG138" i="19"/>
  <c r="Y38" i="19"/>
  <c r="Z38" i="19" s="1"/>
  <c r="J55" i="19"/>
  <c r="V55" i="19"/>
  <c r="Z55" i="19"/>
  <c r="Y128" i="19"/>
  <c r="J123" i="19"/>
  <c r="Y167" i="19"/>
  <c r="Z106" i="19"/>
  <c r="V106" i="19"/>
  <c r="AF164" i="19"/>
  <c r="BF164" i="19"/>
  <c r="AO164" i="19"/>
  <c r="BD164" i="19"/>
  <c r="AY164" i="19"/>
  <c r="AX164" i="19"/>
  <c r="AV164" i="19"/>
  <c r="BE164" i="19"/>
  <c r="AQ164" i="19"/>
  <c r="AG164" i="19"/>
  <c r="BG164" i="19"/>
  <c r="AN164" i="19"/>
  <c r="AI164" i="19"/>
  <c r="AP164" i="19"/>
  <c r="AH164" i="19"/>
  <c r="AW164" i="19"/>
  <c r="V38" i="19"/>
  <c r="M177" i="19"/>
  <c r="X176" i="19"/>
  <c r="AJ65" i="19"/>
  <c r="BA65" i="19"/>
  <c r="AK65" i="19"/>
  <c r="AZ65" i="19"/>
  <c r="AF27" i="19"/>
  <c r="AY27" i="19"/>
  <c r="AV27" i="19"/>
  <c r="AW27" i="19"/>
  <c r="AP27" i="19"/>
  <c r="AH27" i="19"/>
  <c r="AQ27" i="19"/>
  <c r="AI27" i="19"/>
  <c r="AG27" i="19"/>
  <c r="AX27" i="19"/>
  <c r="AN27" i="19"/>
  <c r="BG27" i="19"/>
  <c r="BE27" i="19"/>
  <c r="BF27" i="19"/>
  <c r="BD27" i="19"/>
  <c r="AO27" i="19"/>
  <c r="AD138" i="19"/>
  <c r="BB138" i="19"/>
  <c r="BC138" i="19"/>
  <c r="AE138" i="19"/>
  <c r="AT138" i="19"/>
  <c r="AM138" i="19"/>
  <c r="AL138" i="19"/>
  <c r="AU138" i="19"/>
  <c r="J151" i="19"/>
  <c r="AF181" i="19"/>
  <c r="AY181" i="19"/>
  <c r="AX181" i="19"/>
  <c r="AV181" i="19"/>
  <c r="AI181" i="19"/>
  <c r="AQ181" i="19"/>
  <c r="AN181" i="19"/>
  <c r="AW181" i="19"/>
  <c r="AP181" i="19"/>
  <c r="BG181" i="19"/>
  <c r="AG181" i="19"/>
  <c r="AH181" i="19"/>
  <c r="BD181" i="19"/>
  <c r="BE181" i="19"/>
  <c r="BF181" i="19"/>
  <c r="AO181" i="19"/>
  <c r="V70" i="19"/>
  <c r="Z70" i="19"/>
  <c r="AF95" i="19"/>
  <c r="AY95" i="19"/>
  <c r="AV95" i="19"/>
  <c r="AI95" i="19"/>
  <c r="AQ95" i="19"/>
  <c r="AX95" i="19"/>
  <c r="AG95" i="19"/>
  <c r="AW95" i="19"/>
  <c r="AP95" i="19"/>
  <c r="BE95" i="19"/>
  <c r="AH95" i="19"/>
  <c r="BG95" i="19"/>
  <c r="AO95" i="19"/>
  <c r="AN95" i="19"/>
  <c r="BF95" i="19"/>
  <c r="BD95" i="19"/>
  <c r="L70" i="21"/>
  <c r="M70" i="21"/>
  <c r="T48" i="21"/>
  <c r="V48" i="21" s="1"/>
  <c r="AB48" i="21"/>
  <c r="Q56" i="21"/>
  <c r="R56" i="21" s="1"/>
  <c r="S49" i="21"/>
  <c r="S71" i="21"/>
  <c r="T71" i="21" s="1"/>
  <c r="W19" i="22" l="1"/>
  <c r="AF38" i="19"/>
  <c r="AO38" i="19"/>
  <c r="BE38" i="19"/>
  <c r="BD38" i="19"/>
  <c r="AY38" i="19"/>
  <c r="BF38" i="19"/>
  <c r="AX38" i="19"/>
  <c r="BG38" i="19"/>
  <c r="AI38" i="19"/>
  <c r="AQ38" i="19"/>
  <c r="AG38" i="19"/>
  <c r="AW38" i="19"/>
  <c r="AH38" i="19"/>
  <c r="AN38" i="19"/>
  <c r="AP38" i="19"/>
  <c r="AV38" i="19"/>
  <c r="AS176" i="19"/>
  <c r="AU176" i="19"/>
  <c r="AC176" i="19"/>
  <c r="BC176" i="19"/>
  <c r="BG176" i="19"/>
  <c r="AK176" i="19"/>
  <c r="AO176" i="19"/>
  <c r="AY176" i="19"/>
  <c r="AG176" i="19"/>
  <c r="AW176" i="19"/>
  <c r="AI176" i="19"/>
  <c r="AE176" i="19"/>
  <c r="AM176" i="19"/>
  <c r="BA176" i="19"/>
  <c r="BE176" i="19"/>
  <c r="AQ176" i="19"/>
  <c r="V56" i="19"/>
  <c r="Z56" i="19"/>
  <c r="J108" i="19"/>
  <c r="Z71" i="19"/>
  <c r="V71" i="19"/>
  <c r="M178" i="19"/>
  <c r="X178" i="19" s="1"/>
  <c r="X177" i="19"/>
  <c r="Y168" i="19"/>
  <c r="Y129" i="19"/>
  <c r="J56" i="19"/>
  <c r="AJ48" i="19"/>
  <c r="AZ48" i="19"/>
  <c r="AK48" i="19"/>
  <c r="BA48" i="19"/>
  <c r="Y99" i="19"/>
  <c r="AF165" i="19"/>
  <c r="AO165" i="19"/>
  <c r="BG165" i="19"/>
  <c r="BD165" i="19"/>
  <c r="AY165" i="19"/>
  <c r="BF165" i="19"/>
  <c r="BE165" i="19"/>
  <c r="AI165" i="19"/>
  <c r="AQ165" i="19"/>
  <c r="AH165" i="19"/>
  <c r="AV165" i="19"/>
  <c r="AX165" i="19"/>
  <c r="AW165" i="19"/>
  <c r="AN165" i="19"/>
  <c r="AP165" i="19"/>
  <c r="AG165" i="19"/>
  <c r="AF182" i="19"/>
  <c r="BG182" i="19"/>
  <c r="BE182" i="19"/>
  <c r="BD182" i="19"/>
  <c r="AX182" i="19"/>
  <c r="AO182" i="19"/>
  <c r="BF182" i="19"/>
  <c r="AV182" i="19"/>
  <c r="AY182" i="19"/>
  <c r="AQ182" i="19"/>
  <c r="AI182" i="19"/>
  <c r="AH182" i="19"/>
  <c r="AW182" i="19"/>
  <c r="AN182" i="19"/>
  <c r="AP182" i="19"/>
  <c r="AG182" i="19"/>
  <c r="Y31" i="19"/>
  <c r="AF28" i="19"/>
  <c r="AV28" i="19"/>
  <c r="AY28" i="19"/>
  <c r="AX28" i="19"/>
  <c r="AW28" i="19"/>
  <c r="AG28" i="19"/>
  <c r="AI28" i="19"/>
  <c r="AH28" i="19"/>
  <c r="AQ28" i="19"/>
  <c r="BE28" i="19"/>
  <c r="BG28" i="19"/>
  <c r="AO28" i="19"/>
  <c r="BF28" i="19"/>
  <c r="AN28" i="19"/>
  <c r="BD28" i="19"/>
  <c r="AP28" i="19"/>
  <c r="V97" i="19"/>
  <c r="Z97" i="19"/>
  <c r="Y82" i="19"/>
  <c r="Y81" i="19"/>
  <c r="J40" i="19"/>
  <c r="AF123" i="19"/>
  <c r="AO123" i="19"/>
  <c r="BD123" i="19"/>
  <c r="BF123" i="19"/>
  <c r="AY123" i="19"/>
  <c r="AV123" i="19"/>
  <c r="AX123" i="19"/>
  <c r="BG123" i="19"/>
  <c r="BE123" i="19"/>
  <c r="AI123" i="19"/>
  <c r="AQ123" i="19"/>
  <c r="AP123" i="19"/>
  <c r="AH123" i="19"/>
  <c r="AW123" i="19"/>
  <c r="AG123" i="19"/>
  <c r="AN123" i="19"/>
  <c r="V39" i="19"/>
  <c r="AJ98" i="19"/>
  <c r="AK98" i="19"/>
  <c r="AZ98" i="19"/>
  <c r="BA98" i="19"/>
  <c r="V166" i="19"/>
  <c r="Z166" i="19"/>
  <c r="Y148" i="19"/>
  <c r="Z148" i="19" s="1"/>
  <c r="AJ30" i="19"/>
  <c r="AK30" i="19"/>
  <c r="AZ30" i="19"/>
  <c r="BA30" i="19"/>
  <c r="V152" i="19"/>
  <c r="AF106" i="19"/>
  <c r="AO106" i="19"/>
  <c r="AY106" i="19"/>
  <c r="AV106" i="19"/>
  <c r="AX106" i="19"/>
  <c r="BD106" i="19"/>
  <c r="BF106" i="19"/>
  <c r="AN106" i="19"/>
  <c r="AP106" i="19"/>
  <c r="AW106" i="19"/>
  <c r="AG106" i="19"/>
  <c r="BE106" i="19"/>
  <c r="AI106" i="19"/>
  <c r="AQ106" i="19"/>
  <c r="BG106" i="19"/>
  <c r="AH106" i="19"/>
  <c r="AF55" i="19"/>
  <c r="AO55" i="19"/>
  <c r="BD55" i="19"/>
  <c r="AY55" i="19"/>
  <c r="AV55" i="19"/>
  <c r="BF55" i="19"/>
  <c r="AI55" i="19"/>
  <c r="AP55" i="19"/>
  <c r="AH55" i="19"/>
  <c r="AG55" i="19"/>
  <c r="AW55" i="19"/>
  <c r="BG55" i="19"/>
  <c r="BE55" i="19"/>
  <c r="AQ55" i="19"/>
  <c r="AX55" i="19"/>
  <c r="AN55" i="19"/>
  <c r="AF139" i="19"/>
  <c r="BF139" i="19"/>
  <c r="AY139" i="19"/>
  <c r="BG139" i="19"/>
  <c r="BD139" i="19"/>
  <c r="AV139" i="19"/>
  <c r="AO139" i="19"/>
  <c r="AQ139" i="19"/>
  <c r="AG139" i="19"/>
  <c r="AX139" i="19"/>
  <c r="AI139" i="19"/>
  <c r="AP139" i="19"/>
  <c r="AH139" i="19"/>
  <c r="AW139" i="19"/>
  <c r="AN139" i="19"/>
  <c r="BE139" i="19"/>
  <c r="AU182" i="19"/>
  <c r="AD182" i="19"/>
  <c r="AT182" i="19"/>
  <c r="AL182" i="19"/>
  <c r="BC182" i="19"/>
  <c r="AM182" i="19"/>
  <c r="BB182" i="19"/>
  <c r="AE182" i="19"/>
  <c r="Z29" i="19"/>
  <c r="V29" i="19"/>
  <c r="AJ82" i="19"/>
  <c r="BA82" i="19"/>
  <c r="AK82" i="19"/>
  <c r="AZ82" i="19"/>
  <c r="AF70" i="19"/>
  <c r="AO70" i="19"/>
  <c r="BE70" i="19"/>
  <c r="BD70" i="19"/>
  <c r="BF70" i="19"/>
  <c r="BG70" i="19"/>
  <c r="AI70" i="19"/>
  <c r="AX70" i="19"/>
  <c r="AV70" i="19"/>
  <c r="AG70" i="19"/>
  <c r="AW70" i="19"/>
  <c r="AN70" i="19"/>
  <c r="AP70" i="19"/>
  <c r="AY70" i="19"/>
  <c r="AH70" i="19"/>
  <c r="AQ70" i="19"/>
  <c r="J152" i="19"/>
  <c r="V107" i="19"/>
  <c r="Z107" i="19"/>
  <c r="J124" i="19"/>
  <c r="Y39" i="19"/>
  <c r="Z39" i="19" s="1"/>
  <c r="AU139" i="19"/>
  <c r="AD139" i="19"/>
  <c r="BB139" i="19"/>
  <c r="BC139" i="19"/>
  <c r="AL139" i="19"/>
  <c r="AT139" i="19"/>
  <c r="AM139" i="19"/>
  <c r="AE139" i="19"/>
  <c r="Y108" i="19"/>
  <c r="AF147" i="19"/>
  <c r="AY147" i="19"/>
  <c r="AX147" i="19"/>
  <c r="AN147" i="19"/>
  <c r="AG147" i="19"/>
  <c r="AW147" i="19"/>
  <c r="AV147" i="19"/>
  <c r="BE147" i="19"/>
  <c r="AI147" i="19"/>
  <c r="AQ147" i="19"/>
  <c r="BG147" i="19"/>
  <c r="BD147" i="19"/>
  <c r="AP147" i="19"/>
  <c r="AH147" i="19"/>
  <c r="AO147" i="19"/>
  <c r="BF147" i="19"/>
  <c r="J75" i="19"/>
  <c r="J92" i="19"/>
  <c r="AF96" i="19"/>
  <c r="AY96" i="19"/>
  <c r="AG96" i="19"/>
  <c r="AX96" i="19"/>
  <c r="AI96" i="19"/>
  <c r="AW96" i="19"/>
  <c r="AV96" i="19"/>
  <c r="AH96" i="19"/>
  <c r="BF96" i="19"/>
  <c r="BG96" i="19"/>
  <c r="AO96" i="19"/>
  <c r="AQ96" i="19"/>
  <c r="AN96" i="19"/>
  <c r="BE96" i="19"/>
  <c r="BD96" i="19"/>
  <c r="AP96" i="19"/>
  <c r="J24" i="19"/>
  <c r="J168" i="19"/>
  <c r="V124" i="19"/>
  <c r="Z124"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72" i="21" a="1"/>
  <c r="L68" i="21" a="1"/>
  <c r="AF39" i="19" l="1"/>
  <c r="BF39" i="19"/>
  <c r="AO39" i="19"/>
  <c r="AX39" i="19"/>
  <c r="BE39" i="19"/>
  <c r="AP39" i="19"/>
  <c r="AH39" i="19"/>
  <c r="AG39" i="19"/>
  <c r="AI39" i="19"/>
  <c r="AW39" i="19"/>
  <c r="BG39" i="19"/>
  <c r="AN39" i="19"/>
  <c r="AQ39" i="19"/>
  <c r="BD39" i="19"/>
  <c r="AY39" i="19"/>
  <c r="AV39" i="19"/>
  <c r="J76" i="19"/>
  <c r="Y40" i="19"/>
  <c r="Z40" i="19" s="1"/>
  <c r="V40" i="19"/>
  <c r="AJ31" i="19"/>
  <c r="BA31" i="19"/>
  <c r="AK31" i="19"/>
  <c r="AZ31" i="19"/>
  <c r="J109" i="19"/>
  <c r="V125" i="19"/>
  <c r="Z125" i="19"/>
  <c r="AF29" i="19"/>
  <c r="AY29" i="19"/>
  <c r="AW29" i="19"/>
  <c r="AV29" i="19"/>
  <c r="AG29" i="19"/>
  <c r="AH29" i="19"/>
  <c r="AX29" i="19"/>
  <c r="AI29" i="19"/>
  <c r="BE29" i="19"/>
  <c r="AO29" i="19"/>
  <c r="AP29" i="19"/>
  <c r="AQ29" i="19"/>
  <c r="BG29" i="19"/>
  <c r="BF29" i="19"/>
  <c r="AN29" i="19"/>
  <c r="BD29" i="19"/>
  <c r="J169" i="19"/>
  <c r="Y109" i="19"/>
  <c r="J125" i="19"/>
  <c r="V30" i="19"/>
  <c r="Z30" i="19"/>
  <c r="AF148" i="19"/>
  <c r="BF148" i="19"/>
  <c r="AO148" i="19"/>
  <c r="BD148" i="19"/>
  <c r="AY148" i="19"/>
  <c r="AV148" i="19"/>
  <c r="BE148" i="19"/>
  <c r="AP148" i="19"/>
  <c r="AX148" i="19"/>
  <c r="AN148" i="19"/>
  <c r="AG148" i="19"/>
  <c r="AH148" i="19"/>
  <c r="AW148" i="19"/>
  <c r="AI148" i="19"/>
  <c r="AQ148" i="19"/>
  <c r="BG148" i="19"/>
  <c r="V167" i="19"/>
  <c r="Z167" i="19"/>
  <c r="AF97" i="19"/>
  <c r="AY97" i="19"/>
  <c r="AX97" i="19"/>
  <c r="AV97" i="19"/>
  <c r="AH97" i="19"/>
  <c r="AW97" i="19"/>
  <c r="AG97" i="19"/>
  <c r="AI97" i="19"/>
  <c r="AN97" i="19"/>
  <c r="BF97" i="19"/>
  <c r="BG97" i="19"/>
  <c r="BE97" i="19"/>
  <c r="BD97" i="19"/>
  <c r="AO97" i="19"/>
  <c r="AP97" i="19"/>
  <c r="AQ97" i="19"/>
  <c r="AJ99" i="19"/>
  <c r="AZ99" i="19"/>
  <c r="AK99" i="19"/>
  <c r="BA99" i="19"/>
  <c r="J57" i="19"/>
  <c r="Y169" i="19"/>
  <c r="AF71" i="19"/>
  <c r="BF71" i="19"/>
  <c r="AY71" i="19"/>
  <c r="BE71" i="19"/>
  <c r="BD71" i="19"/>
  <c r="AP71" i="19"/>
  <c r="AH71" i="19"/>
  <c r="AX71" i="19"/>
  <c r="AW71" i="19"/>
  <c r="AG71" i="19"/>
  <c r="BG71" i="19"/>
  <c r="AV71" i="19"/>
  <c r="AQ71" i="19"/>
  <c r="AN71" i="19"/>
  <c r="AI71" i="19"/>
  <c r="AO71" i="19"/>
  <c r="AF56" i="19"/>
  <c r="BF56" i="19"/>
  <c r="AX56" i="19"/>
  <c r="AO56" i="19"/>
  <c r="AY56" i="19"/>
  <c r="BE56" i="19"/>
  <c r="AN56" i="19"/>
  <c r="AP56" i="19"/>
  <c r="BG56" i="19"/>
  <c r="AV56" i="19"/>
  <c r="AI56" i="19"/>
  <c r="AQ56" i="19"/>
  <c r="AW56" i="19"/>
  <c r="AH56" i="19"/>
  <c r="AG56" i="19"/>
  <c r="BD56" i="19"/>
  <c r="J25" i="19"/>
  <c r="V108" i="19"/>
  <c r="Z108" i="19"/>
  <c r="AF124" i="19"/>
  <c r="AO124" i="19"/>
  <c r="BD124" i="19"/>
  <c r="AY124" i="19"/>
  <c r="AV124" i="19"/>
  <c r="BE124" i="19"/>
  <c r="AX124" i="19"/>
  <c r="BF124" i="19"/>
  <c r="BG124" i="19"/>
  <c r="AI124" i="19"/>
  <c r="AP124" i="19"/>
  <c r="AG124" i="19"/>
  <c r="AN124" i="19"/>
  <c r="AQ124" i="19"/>
  <c r="AW124" i="19"/>
  <c r="AH124" i="19"/>
  <c r="J93" i="19"/>
  <c r="AF107" i="19"/>
  <c r="AO107" i="19"/>
  <c r="AG107" i="19"/>
  <c r="AP107" i="19"/>
  <c r="AH107" i="19"/>
  <c r="AN107" i="19"/>
  <c r="AI107" i="19"/>
  <c r="AQ107" i="19"/>
  <c r="AW107" i="19"/>
  <c r="AY107" i="19"/>
  <c r="BG107" i="19"/>
  <c r="AX107" i="19"/>
  <c r="AV107" i="19"/>
  <c r="BF107" i="19"/>
  <c r="BD107" i="19"/>
  <c r="BE107" i="19"/>
  <c r="K151" i="19"/>
  <c r="J153" i="19"/>
  <c r="V153" i="19"/>
  <c r="Y149" i="19"/>
  <c r="Z149" i="19" s="1"/>
  <c r="J41" i="19"/>
  <c r="AS177" i="19"/>
  <c r="BA177" i="19"/>
  <c r="AC177" i="19"/>
  <c r="AY177" i="19"/>
  <c r="AO177" i="19"/>
  <c r="BC177" i="19"/>
  <c r="BE177" i="19"/>
  <c r="AM177" i="19"/>
  <c r="AW177" i="19"/>
  <c r="AU177" i="19"/>
  <c r="AK177" i="19"/>
  <c r="BG177" i="19"/>
  <c r="AG177" i="19"/>
  <c r="AI177" i="19"/>
  <c r="AE177" i="19"/>
  <c r="AQ177" i="19"/>
  <c r="V72" i="19"/>
  <c r="Z72" i="19"/>
  <c r="AF166" i="19"/>
  <c r="AO166" i="19"/>
  <c r="BE166" i="19"/>
  <c r="BD166" i="19"/>
  <c r="BF166" i="19"/>
  <c r="AV166" i="19"/>
  <c r="AQ166" i="19"/>
  <c r="AP166" i="19"/>
  <c r="AG166" i="19"/>
  <c r="AW166" i="19"/>
  <c r="AH166" i="19"/>
  <c r="AN166" i="19"/>
  <c r="BG166" i="19"/>
  <c r="AI166" i="19"/>
  <c r="AY166" i="19"/>
  <c r="AX166" i="19"/>
  <c r="Z98" i="19"/>
  <c r="V98" i="19"/>
  <c r="Y131" i="19"/>
  <c r="Y130" i="19"/>
  <c r="AC178" i="19"/>
  <c r="AS178" i="19"/>
  <c r="BA178" i="19"/>
  <c r="AK178" i="19"/>
  <c r="AO178" i="19"/>
  <c r="BC178" i="19"/>
  <c r="AU178" i="19"/>
  <c r="AY178" i="19"/>
  <c r="AQ178" i="19"/>
  <c r="AG178" i="19"/>
  <c r="AW178" i="19"/>
  <c r="AE178" i="19"/>
  <c r="BG178" i="19"/>
  <c r="AM178" i="19"/>
  <c r="BE178" i="19"/>
  <c r="AI178" i="19"/>
  <c r="V57" i="19"/>
  <c r="Z57" i="19"/>
  <c r="S75" i="21"/>
  <c r="AA75" i="21" s="1"/>
  <c r="Y80" i="21"/>
  <c r="W75" i="21"/>
  <c r="L72" i="21"/>
  <c r="L68" i="21"/>
  <c r="T75" i="21"/>
  <c r="V75" i="21" s="1"/>
  <c r="AI75" i="21" s="1"/>
  <c r="AI49" i="21"/>
  <c r="X49" i="21"/>
  <c r="AH49" i="21" s="1"/>
  <c r="S69" i="21"/>
  <c r="AC49" i="21"/>
  <c r="AE49" i="21" s="1"/>
  <c r="AD49" i="21"/>
  <c r="T56" i="21"/>
  <c r="V56" i="21" s="1"/>
  <c r="AB56" i="21"/>
  <c r="AF40" i="19" l="1"/>
  <c r="BG40" i="19"/>
  <c r="BF40" i="19"/>
  <c r="AO40" i="19"/>
  <c r="AH40" i="19"/>
  <c r="BD40" i="19"/>
  <c r="AY40" i="19"/>
  <c r="AX40" i="19"/>
  <c r="AG40" i="19"/>
  <c r="AW40" i="19"/>
  <c r="AV40" i="19"/>
  <c r="BE40" i="19"/>
  <c r="AN40" i="19"/>
  <c r="AI40" i="19"/>
  <c r="AQ40" i="19"/>
  <c r="AP40" i="19"/>
  <c r="AU98" i="19"/>
  <c r="AD98" i="19"/>
  <c r="AT98" i="19"/>
  <c r="AE98" i="19"/>
  <c r="BB98" i="19"/>
  <c r="AM98" i="19"/>
  <c r="BC98" i="19"/>
  <c r="AL98" i="19"/>
  <c r="AF98" i="19"/>
  <c r="AY98" i="19"/>
  <c r="AV98" i="19"/>
  <c r="AI98" i="19"/>
  <c r="AX98" i="19"/>
  <c r="AW98" i="19"/>
  <c r="AH98" i="19"/>
  <c r="AG98" i="19"/>
  <c r="AP98" i="19"/>
  <c r="AN98" i="19"/>
  <c r="BF98" i="19"/>
  <c r="AO98" i="19"/>
  <c r="AQ98" i="19"/>
  <c r="BD98" i="19"/>
  <c r="BG98" i="19"/>
  <c r="BE98" i="19"/>
  <c r="V73" i="19"/>
  <c r="Z73" i="19"/>
  <c r="AF149" i="19"/>
  <c r="AO149" i="19"/>
  <c r="AV149" i="19"/>
  <c r="BF149" i="19"/>
  <c r="BD149" i="19"/>
  <c r="AY149" i="19"/>
  <c r="BG149" i="19"/>
  <c r="AN149" i="19"/>
  <c r="AI149" i="19"/>
  <c r="AQ149" i="19"/>
  <c r="AP149" i="19"/>
  <c r="BE149" i="19"/>
  <c r="AH149" i="19"/>
  <c r="AG149" i="19"/>
  <c r="AW149" i="19"/>
  <c r="AX149" i="19"/>
  <c r="V99" i="19"/>
  <c r="Z99" i="19"/>
  <c r="J42" i="19"/>
  <c r="I151" i="19"/>
  <c r="K150" i="19"/>
  <c r="V168" i="19"/>
  <c r="Z168" i="19"/>
  <c r="AD30" i="19"/>
  <c r="AT30" i="19"/>
  <c r="AU30" i="19"/>
  <c r="AE30" i="19"/>
  <c r="AM30" i="19"/>
  <c r="AL30" i="19"/>
  <c r="BC30" i="19"/>
  <c r="BB30" i="19"/>
  <c r="V126" i="19"/>
  <c r="Z126" i="19"/>
  <c r="V58" i="19"/>
  <c r="Z58" i="19"/>
  <c r="AF72" i="19"/>
  <c r="BF72" i="19"/>
  <c r="BG72" i="19"/>
  <c r="AO72" i="19"/>
  <c r="AX72" i="19"/>
  <c r="AI72" i="19"/>
  <c r="AQ72" i="19"/>
  <c r="AH72" i="19"/>
  <c r="AW72" i="19"/>
  <c r="AY72" i="19"/>
  <c r="AP72" i="19"/>
  <c r="BE72" i="19"/>
  <c r="AN72" i="19"/>
  <c r="AG72" i="19"/>
  <c r="BD72" i="19"/>
  <c r="AV72" i="19"/>
  <c r="V154" i="19"/>
  <c r="K92" i="19"/>
  <c r="J94" i="19"/>
  <c r="V109" i="19"/>
  <c r="Z109" i="19"/>
  <c r="Y170" i="19"/>
  <c r="AF167" i="19"/>
  <c r="BD167" i="19"/>
  <c r="AO167" i="19"/>
  <c r="BF167" i="19"/>
  <c r="BE167" i="19"/>
  <c r="AQ167" i="19"/>
  <c r="AP167" i="19"/>
  <c r="AH167" i="19"/>
  <c r="AG167" i="19"/>
  <c r="BG167" i="19"/>
  <c r="AI167" i="19"/>
  <c r="AW167" i="19"/>
  <c r="AV167" i="19"/>
  <c r="AX167" i="19"/>
  <c r="AN167" i="19"/>
  <c r="AY167" i="19"/>
  <c r="V31" i="19"/>
  <c r="Z31" i="19"/>
  <c r="Y110" i="19"/>
  <c r="AF125" i="19"/>
  <c r="AY125" i="19"/>
  <c r="BD125" i="19"/>
  <c r="AO125" i="19"/>
  <c r="BF125" i="19"/>
  <c r="AV125" i="19"/>
  <c r="AP125" i="19"/>
  <c r="AH125" i="19"/>
  <c r="AG125" i="19"/>
  <c r="AW125" i="19"/>
  <c r="BG125" i="19"/>
  <c r="AX125" i="19"/>
  <c r="BE125" i="19"/>
  <c r="AI125" i="19"/>
  <c r="AQ125" i="19"/>
  <c r="AN125" i="19"/>
  <c r="Y41" i="19"/>
  <c r="Z41" i="19" s="1"/>
  <c r="Y150" i="19"/>
  <c r="Z150" i="19" s="1"/>
  <c r="K24" i="19"/>
  <c r="J26" i="19"/>
  <c r="J58" i="19"/>
  <c r="J126" i="19"/>
  <c r="J170" i="19"/>
  <c r="AF57" i="19"/>
  <c r="AX57" i="19"/>
  <c r="AO57" i="19"/>
  <c r="BF57" i="19"/>
  <c r="BD57" i="19"/>
  <c r="BE57" i="19"/>
  <c r="AG57" i="19"/>
  <c r="AN57" i="19"/>
  <c r="AI57" i="19"/>
  <c r="AQ57" i="19"/>
  <c r="AW57" i="19"/>
  <c r="AV57" i="19"/>
  <c r="AH57" i="19"/>
  <c r="BG57" i="19"/>
  <c r="AY57" i="19"/>
  <c r="AP57" i="19"/>
  <c r="J154" i="19"/>
  <c r="AF108" i="19"/>
  <c r="AO108" i="19"/>
  <c r="AN108" i="19"/>
  <c r="AQ108" i="19"/>
  <c r="AP108" i="19"/>
  <c r="AH108" i="19"/>
  <c r="AI108" i="19"/>
  <c r="AG108" i="19"/>
  <c r="AW108" i="19"/>
  <c r="BD108" i="19"/>
  <c r="BE108" i="19"/>
  <c r="AY108" i="19"/>
  <c r="BF108" i="19"/>
  <c r="BG108" i="19"/>
  <c r="AV108" i="19"/>
  <c r="AX108" i="19"/>
  <c r="AF30" i="19"/>
  <c r="AI30" i="19"/>
  <c r="AH30" i="19"/>
  <c r="AG30" i="19"/>
  <c r="AV30" i="19"/>
  <c r="AX30" i="19"/>
  <c r="AW30" i="19"/>
  <c r="AY30" i="19"/>
  <c r="BF30" i="19"/>
  <c r="BG30" i="19"/>
  <c r="BD30" i="19"/>
  <c r="AQ30" i="19"/>
  <c r="BE30" i="19"/>
  <c r="AN30" i="19"/>
  <c r="AO30" i="19"/>
  <c r="AP30" i="19"/>
  <c r="J110" i="19"/>
  <c r="V41" i="19"/>
  <c r="K75" i="19"/>
  <c r="J77"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K169" i="19" l="1"/>
  <c r="J171" i="19"/>
  <c r="AF150" i="19"/>
  <c r="AV150" i="19"/>
  <c r="BE150" i="19"/>
  <c r="BD150" i="19"/>
  <c r="BG150" i="19"/>
  <c r="AO150" i="19"/>
  <c r="BF150" i="19"/>
  <c r="AX150" i="19"/>
  <c r="AY150" i="19"/>
  <c r="AW150" i="19"/>
  <c r="AP150" i="19"/>
  <c r="AH150" i="19"/>
  <c r="AG150" i="19"/>
  <c r="AI150" i="19"/>
  <c r="AQ150" i="19"/>
  <c r="AN150" i="19"/>
  <c r="Y111" i="19"/>
  <c r="Y171" i="19"/>
  <c r="V59" i="19"/>
  <c r="Z59" i="19"/>
  <c r="V169" i="19"/>
  <c r="Z169" i="19"/>
  <c r="AD99" i="19"/>
  <c r="AU99" i="19"/>
  <c r="AT99" i="19"/>
  <c r="AE99" i="19"/>
  <c r="BC99" i="19"/>
  <c r="AM99" i="19"/>
  <c r="BB99" i="19"/>
  <c r="AL99" i="19"/>
  <c r="I75" i="19"/>
  <c r="K74" i="19"/>
  <c r="J59" i="19"/>
  <c r="V42" i="19"/>
  <c r="Y151" i="19"/>
  <c r="Z151" i="19" s="1"/>
  <c r="J95" i="19"/>
  <c r="V155" i="19"/>
  <c r="AF126" i="19"/>
  <c r="BF126" i="19"/>
  <c r="BG126" i="19"/>
  <c r="AX126" i="19"/>
  <c r="AV126" i="19"/>
  <c r="AY126" i="19"/>
  <c r="BE126" i="19"/>
  <c r="AO126" i="19"/>
  <c r="BD126" i="19"/>
  <c r="AP126" i="19"/>
  <c r="AH126" i="19"/>
  <c r="AG126" i="19"/>
  <c r="AN126" i="19"/>
  <c r="AI126" i="19"/>
  <c r="AQ126" i="19"/>
  <c r="AW126" i="19"/>
  <c r="AF168" i="19"/>
  <c r="BG168" i="19"/>
  <c r="BF168" i="19"/>
  <c r="AO168" i="19"/>
  <c r="AX168" i="19"/>
  <c r="BD168" i="19"/>
  <c r="BE168" i="19"/>
  <c r="AP168" i="19"/>
  <c r="AG168" i="19"/>
  <c r="AW168" i="19"/>
  <c r="AH168" i="19"/>
  <c r="AV168" i="19"/>
  <c r="AN168" i="19"/>
  <c r="AI168" i="19"/>
  <c r="AQ168" i="19"/>
  <c r="AY168" i="19"/>
  <c r="J43" i="19"/>
  <c r="K41" i="19"/>
  <c r="V74" i="19"/>
  <c r="Z74" i="19"/>
  <c r="J155" i="19"/>
  <c r="J127" i="19"/>
  <c r="AF31" i="19"/>
  <c r="AY31" i="19"/>
  <c r="AV31" i="19"/>
  <c r="AI31" i="19"/>
  <c r="AG31" i="19"/>
  <c r="AH31" i="19"/>
  <c r="AW31" i="19"/>
  <c r="AX31" i="19"/>
  <c r="AN31" i="19"/>
  <c r="BF31" i="19"/>
  <c r="BD31" i="19"/>
  <c r="AQ31" i="19"/>
  <c r="BG31" i="19"/>
  <c r="AO31" i="19"/>
  <c r="BE31" i="19"/>
  <c r="AP31" i="19"/>
  <c r="V110" i="19"/>
  <c r="Z110" i="19"/>
  <c r="I92" i="19"/>
  <c r="K91" i="19"/>
  <c r="AF58" i="19"/>
  <c r="AY58" i="19"/>
  <c r="AO58" i="19"/>
  <c r="BD58" i="19"/>
  <c r="BF58" i="19"/>
  <c r="AN58" i="19"/>
  <c r="AP58" i="19"/>
  <c r="AV58" i="19"/>
  <c r="AI58" i="19"/>
  <c r="AQ58" i="19"/>
  <c r="AG58" i="19"/>
  <c r="AW58" i="19"/>
  <c r="BG58" i="19"/>
  <c r="AX58" i="19"/>
  <c r="BE58" i="19"/>
  <c r="AH58" i="19"/>
  <c r="AF73" i="19"/>
  <c r="AO73" i="19"/>
  <c r="BF73" i="19"/>
  <c r="BD73" i="19"/>
  <c r="AY73" i="19"/>
  <c r="AG73" i="19"/>
  <c r="AW73" i="19"/>
  <c r="BE73" i="19"/>
  <c r="AI73" i="19"/>
  <c r="AQ73" i="19"/>
  <c r="AX73" i="19"/>
  <c r="AH73" i="19"/>
  <c r="AV73" i="19"/>
  <c r="AN73" i="19"/>
  <c r="AP73" i="19"/>
  <c r="BG73" i="19"/>
  <c r="J111" i="19"/>
  <c r="K109" i="19"/>
  <c r="AF41" i="19"/>
  <c r="BD41" i="19"/>
  <c r="AY41" i="19"/>
  <c r="AV41" i="19"/>
  <c r="BE41" i="19"/>
  <c r="AO41" i="19"/>
  <c r="BF41" i="19"/>
  <c r="BG41" i="19"/>
  <c r="AX41" i="19"/>
  <c r="AG41" i="19"/>
  <c r="AW41" i="19"/>
  <c r="AI41" i="19"/>
  <c r="AQ41" i="19"/>
  <c r="AP41" i="19"/>
  <c r="AH41" i="19"/>
  <c r="AN41" i="19"/>
  <c r="J27" i="19"/>
  <c r="J78" i="19"/>
  <c r="I24" i="19"/>
  <c r="K23" i="19"/>
  <c r="Y42" i="19"/>
  <c r="Z42" i="19" s="1"/>
  <c r="AD31" i="19"/>
  <c r="AT31" i="19"/>
  <c r="AE31" i="19"/>
  <c r="AU31" i="19"/>
  <c r="BB31" i="19"/>
  <c r="BC31" i="19"/>
  <c r="AM31" i="19"/>
  <c r="AL31" i="19"/>
  <c r="AF109" i="19"/>
  <c r="BF109" i="19"/>
  <c r="BD109" i="19"/>
  <c r="AY109" i="19"/>
  <c r="AV109" i="19"/>
  <c r="AX109" i="19"/>
  <c r="AO109" i="19"/>
  <c r="BG109" i="19"/>
  <c r="AH109" i="19"/>
  <c r="BE109" i="19"/>
  <c r="AN109" i="19"/>
  <c r="AG109" i="19"/>
  <c r="AP109" i="19"/>
  <c r="AW109" i="19"/>
  <c r="AI109" i="19"/>
  <c r="AQ109" i="19"/>
  <c r="V127" i="19"/>
  <c r="Z127" i="19"/>
  <c r="I150" i="19"/>
  <c r="K149" i="19"/>
  <c r="AF99" i="19"/>
  <c r="AY99" i="19"/>
  <c r="AV99" i="19"/>
  <c r="AI99" i="19"/>
  <c r="AW99" i="19"/>
  <c r="AH99" i="19"/>
  <c r="AX99" i="19"/>
  <c r="AG99" i="19"/>
  <c r="BD99" i="19"/>
  <c r="BF99" i="19"/>
  <c r="BE99" i="19"/>
  <c r="BG99" i="19"/>
  <c r="AN99" i="19"/>
  <c r="AO99" i="19"/>
  <c r="AQ99" i="19"/>
  <c r="AP99" i="19"/>
  <c r="Z96" i="21"/>
  <c r="L90" i="21"/>
  <c r="AH75" i="21"/>
  <c r="W80" i="21"/>
  <c r="AE56" i="21"/>
  <c r="AB57" i="21"/>
  <c r="AI69" i="21"/>
  <c r="X69" i="21"/>
  <c r="AB69" i="21"/>
  <c r="AD69" i="21" s="1"/>
  <c r="AC69" i="21"/>
  <c r="AF42" i="19" l="1"/>
  <c r="AO42" i="19"/>
  <c r="AV42" i="19"/>
  <c r="BD42" i="19"/>
  <c r="AY42" i="19"/>
  <c r="BF42" i="19"/>
  <c r="BE42" i="19"/>
  <c r="AN42" i="19"/>
  <c r="AP42" i="19"/>
  <c r="AX42" i="19"/>
  <c r="AW42" i="19"/>
  <c r="AH42" i="19"/>
  <c r="BG42" i="19"/>
  <c r="AI42" i="19"/>
  <c r="AQ42" i="19"/>
  <c r="AG42" i="19"/>
  <c r="AF151" i="19"/>
  <c r="AV151" i="19"/>
  <c r="AX151" i="19"/>
  <c r="AY151" i="19"/>
  <c r="AH151" i="19"/>
  <c r="AG151" i="19"/>
  <c r="AW151" i="19"/>
  <c r="AI151" i="19"/>
  <c r="AQ151" i="19"/>
  <c r="AN151" i="19"/>
  <c r="BD151" i="19"/>
  <c r="BF151" i="19"/>
  <c r="BE151" i="19"/>
  <c r="AP151" i="19"/>
  <c r="BG151" i="19"/>
  <c r="AO151" i="19"/>
  <c r="V60" i="19"/>
  <c r="Z60" i="19"/>
  <c r="AF127" i="19"/>
  <c r="AV127" i="19"/>
  <c r="AO127" i="19"/>
  <c r="BD127" i="19"/>
  <c r="AY127" i="19"/>
  <c r="BG127" i="19"/>
  <c r="AX127" i="19"/>
  <c r="BF127" i="19"/>
  <c r="AN127" i="19"/>
  <c r="AI127" i="19"/>
  <c r="AG127" i="19"/>
  <c r="AH127" i="19"/>
  <c r="AW127" i="19"/>
  <c r="BE127" i="19"/>
  <c r="AQ127" i="19"/>
  <c r="AP127" i="19"/>
  <c r="I91" i="19"/>
  <c r="K90" i="19"/>
  <c r="V111" i="19"/>
  <c r="Z111" i="19"/>
  <c r="J156" i="19"/>
  <c r="I41" i="19"/>
  <c r="K40" i="19"/>
  <c r="V156" i="19"/>
  <c r="Y152" i="19"/>
  <c r="Z152" i="19" s="1"/>
  <c r="AF169" i="19"/>
  <c r="BD169" i="19"/>
  <c r="AO169" i="19"/>
  <c r="AX169" i="19"/>
  <c r="BF169" i="19"/>
  <c r="AV169" i="19"/>
  <c r="AY169" i="19"/>
  <c r="AP169" i="19"/>
  <c r="AG169" i="19"/>
  <c r="AW169" i="19"/>
  <c r="BG169" i="19"/>
  <c r="AI169" i="19"/>
  <c r="AQ169" i="19"/>
  <c r="AN169" i="19"/>
  <c r="BE169" i="19"/>
  <c r="AH169" i="19"/>
  <c r="AF59" i="19"/>
  <c r="BF59" i="19"/>
  <c r="BD59" i="19"/>
  <c r="AY59" i="19"/>
  <c r="AO59" i="19"/>
  <c r="AV59" i="19"/>
  <c r="BE59" i="19"/>
  <c r="AI59" i="19"/>
  <c r="AQ59" i="19"/>
  <c r="AP59" i="19"/>
  <c r="AH59" i="19"/>
  <c r="AG59" i="19"/>
  <c r="AW59" i="19"/>
  <c r="AN59" i="19"/>
  <c r="BG59" i="19"/>
  <c r="AX59" i="19"/>
  <c r="J112" i="19"/>
  <c r="V75" i="19"/>
  <c r="Z75" i="19"/>
  <c r="V43" i="19"/>
  <c r="Y172" i="19"/>
  <c r="I169" i="19"/>
  <c r="K168" i="19"/>
  <c r="I23" i="19"/>
  <c r="K22" i="19"/>
  <c r="J28" i="19"/>
  <c r="I149" i="19"/>
  <c r="K148" i="19"/>
  <c r="AF74" i="19"/>
  <c r="AO74" i="19"/>
  <c r="AY74" i="19"/>
  <c r="BD74" i="19"/>
  <c r="AV74" i="19"/>
  <c r="BF74" i="19"/>
  <c r="BE74" i="19"/>
  <c r="AN74" i="19"/>
  <c r="AI74" i="19"/>
  <c r="AQ74" i="19"/>
  <c r="AP74" i="19"/>
  <c r="AX74" i="19"/>
  <c r="AG74" i="19"/>
  <c r="BG74" i="19"/>
  <c r="AH74" i="19"/>
  <c r="AW74" i="19"/>
  <c r="J44" i="19"/>
  <c r="J96" i="19"/>
  <c r="J60" i="19"/>
  <c r="K58" i="19"/>
  <c r="Y112" i="19"/>
  <c r="V128" i="19"/>
  <c r="Z128" i="19"/>
  <c r="Y43" i="19"/>
  <c r="Z43" i="19" s="1"/>
  <c r="J79" i="19"/>
  <c r="I109" i="19"/>
  <c r="K108" i="19"/>
  <c r="AF110" i="19"/>
  <c r="BF110" i="19"/>
  <c r="AO110" i="19"/>
  <c r="AY110" i="19"/>
  <c r="BE110" i="19"/>
  <c r="BD110" i="19"/>
  <c r="AH110" i="19"/>
  <c r="AN110" i="19"/>
  <c r="AP110" i="19"/>
  <c r="AX110" i="19"/>
  <c r="AV110" i="19"/>
  <c r="BG110" i="19"/>
  <c r="AG110" i="19"/>
  <c r="AI110" i="19"/>
  <c r="AW110" i="19"/>
  <c r="AQ110" i="19"/>
  <c r="J128" i="19"/>
  <c r="K126" i="19"/>
  <c r="I74" i="19"/>
  <c r="K73" i="19"/>
  <c r="V170" i="19"/>
  <c r="Z170" i="19"/>
  <c r="J172" i="19"/>
  <c r="AH69" i="2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AF43" i="19"/>
  <c r="AO43" i="19"/>
  <c r="AG43" i="19"/>
  <c r="AP43" i="19"/>
  <c r="AH43" i="19"/>
  <c r="AN43" i="19"/>
  <c r="AI43" i="19"/>
  <c r="AW43" i="19"/>
  <c r="AQ43" i="19"/>
  <c r="BG43" i="19"/>
  <c r="AV43" i="19"/>
  <c r="BE43" i="19"/>
  <c r="BF43" i="19"/>
  <c r="BD43" i="19"/>
  <c r="AY43" i="19"/>
  <c r="AX43" i="19"/>
  <c r="I73" i="19"/>
  <c r="K72" i="19"/>
  <c r="I108" i="19"/>
  <c r="K107" i="19"/>
  <c r="V129" i="19"/>
  <c r="Z129" i="19"/>
  <c r="J61" i="19"/>
  <c r="J45" i="19"/>
  <c r="J29" i="19"/>
  <c r="V76" i="19"/>
  <c r="Z76" i="19"/>
  <c r="Y153" i="19"/>
  <c r="Z153" i="19" s="1"/>
  <c r="I40" i="19"/>
  <c r="K39" i="19"/>
  <c r="V112" i="19"/>
  <c r="Z112" i="19"/>
  <c r="AF170" i="19"/>
  <c r="AO170" i="19"/>
  <c r="AY170" i="19"/>
  <c r="AV170" i="19"/>
  <c r="BD170" i="19"/>
  <c r="BF170" i="19"/>
  <c r="AN170" i="19"/>
  <c r="AI170" i="19"/>
  <c r="AP170" i="19"/>
  <c r="AX170" i="19"/>
  <c r="AW170" i="19"/>
  <c r="BG170" i="19"/>
  <c r="BE170" i="19"/>
  <c r="AQ170" i="19"/>
  <c r="AH170" i="19"/>
  <c r="AG170" i="19"/>
  <c r="Y44" i="19"/>
  <c r="Z44" i="19" s="1"/>
  <c r="I148" i="19"/>
  <c r="K147" i="19"/>
  <c r="I22" i="19"/>
  <c r="K21" i="19"/>
  <c r="V44" i="19"/>
  <c r="AF111" i="19"/>
  <c r="AY111" i="19"/>
  <c r="BF111" i="19"/>
  <c r="BD111" i="19"/>
  <c r="AX111" i="19"/>
  <c r="AO111" i="19"/>
  <c r="BE111" i="19"/>
  <c r="AN111" i="19"/>
  <c r="AG111" i="19"/>
  <c r="AW111" i="19"/>
  <c r="AP111" i="19"/>
  <c r="AH111" i="19"/>
  <c r="AV111" i="19"/>
  <c r="BG111" i="19"/>
  <c r="AI111" i="19"/>
  <c r="AQ111" i="19"/>
  <c r="AF60" i="19"/>
  <c r="AO60" i="19"/>
  <c r="AX60" i="19"/>
  <c r="BD60" i="19"/>
  <c r="AY60" i="19"/>
  <c r="AV60" i="19"/>
  <c r="BE60" i="19"/>
  <c r="BF60" i="19"/>
  <c r="BG60" i="19"/>
  <c r="AI60" i="19"/>
  <c r="AP60" i="19"/>
  <c r="AW60" i="19"/>
  <c r="AH60" i="19"/>
  <c r="AG60" i="19"/>
  <c r="AN60" i="19"/>
  <c r="AQ60" i="19"/>
  <c r="I126" i="19"/>
  <c r="K125" i="19"/>
  <c r="Y113" i="19"/>
  <c r="Y174" i="19"/>
  <c r="Y173" i="19"/>
  <c r="AF75" i="19"/>
  <c r="AY75" i="19"/>
  <c r="AX75" i="19"/>
  <c r="AV75" i="19"/>
  <c r="AI75" i="19"/>
  <c r="AG75" i="19"/>
  <c r="AH75" i="19"/>
  <c r="AW75" i="19"/>
  <c r="AN75" i="19"/>
  <c r="AP75" i="19"/>
  <c r="BG75" i="19"/>
  <c r="AO75" i="19"/>
  <c r="BE75" i="19"/>
  <c r="BD75" i="19"/>
  <c r="BF75" i="19"/>
  <c r="AQ75" i="19"/>
  <c r="J113" i="19"/>
  <c r="AD156" i="19"/>
  <c r="AU156" i="19"/>
  <c r="AE156" i="19"/>
  <c r="AT156" i="19"/>
  <c r="AM156" i="19"/>
  <c r="AL156" i="19"/>
  <c r="BB156" i="19"/>
  <c r="BC156" i="19"/>
  <c r="J173" i="19"/>
  <c r="J80" i="19"/>
  <c r="AF128" i="19"/>
  <c r="AO128" i="19"/>
  <c r="BD128" i="19"/>
  <c r="AY128" i="19"/>
  <c r="BG128" i="19"/>
  <c r="BF128" i="19"/>
  <c r="AV128" i="19"/>
  <c r="AI128" i="19"/>
  <c r="AP128" i="19"/>
  <c r="AG128" i="19"/>
  <c r="AW128" i="19"/>
  <c r="AN128" i="19"/>
  <c r="AX128" i="19"/>
  <c r="BE128" i="19"/>
  <c r="AQ128" i="19"/>
  <c r="AH128" i="19"/>
  <c r="J97" i="19"/>
  <c r="V171" i="19"/>
  <c r="Z171" i="19"/>
  <c r="J129" i="19"/>
  <c r="I58" i="19"/>
  <c r="K57" i="19"/>
  <c r="I168" i="19"/>
  <c r="K167" i="19"/>
  <c r="AF152" i="19"/>
  <c r="AX152" i="19"/>
  <c r="BF152" i="19"/>
  <c r="AO152" i="19"/>
  <c r="AV152" i="19"/>
  <c r="AN152" i="19"/>
  <c r="AH152" i="19"/>
  <c r="AY152" i="19"/>
  <c r="AG152" i="19"/>
  <c r="BE152" i="19"/>
  <c r="BG152" i="19"/>
  <c r="AP152" i="19"/>
  <c r="BD152" i="19"/>
  <c r="AQ152" i="19"/>
  <c r="AI152" i="19"/>
  <c r="AW152" i="19"/>
  <c r="V157" i="19"/>
  <c r="Z157" i="19"/>
  <c r="J157" i="19"/>
  <c r="I90" i="19"/>
  <c r="K89" i="19"/>
  <c r="Z61" i="19"/>
  <c r="V61" i="19"/>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D157" i="19"/>
  <c r="AT157" i="19"/>
  <c r="BB157" i="19"/>
  <c r="AU157" i="19"/>
  <c r="AE157" i="19"/>
  <c r="AL157" i="19"/>
  <c r="AM157" i="19"/>
  <c r="BC157" i="19"/>
  <c r="J114" i="19"/>
  <c r="AF44" i="19"/>
  <c r="AO44" i="19"/>
  <c r="AN44" i="19"/>
  <c r="AP44" i="19"/>
  <c r="AH44" i="19"/>
  <c r="AW44" i="19"/>
  <c r="AI44" i="19"/>
  <c r="AQ44" i="19"/>
  <c r="AG44" i="19"/>
  <c r="BD44" i="19"/>
  <c r="AX44" i="19"/>
  <c r="AY44" i="19"/>
  <c r="BF44" i="19"/>
  <c r="BG44" i="19"/>
  <c r="AV44" i="19"/>
  <c r="BE44" i="19"/>
  <c r="Y45" i="19"/>
  <c r="Z45" i="19" s="1"/>
  <c r="I39" i="19"/>
  <c r="K38" i="19"/>
  <c r="AF76" i="19"/>
  <c r="AO76" i="19"/>
  <c r="BD76" i="19"/>
  <c r="AY76" i="19"/>
  <c r="AV76" i="19"/>
  <c r="BE76" i="19"/>
  <c r="BF76" i="19"/>
  <c r="AX76" i="19"/>
  <c r="AN76" i="19"/>
  <c r="AI76" i="19"/>
  <c r="AP76" i="19"/>
  <c r="AG76" i="19"/>
  <c r="AQ76" i="19"/>
  <c r="AH76" i="19"/>
  <c r="AW76" i="19"/>
  <c r="BG76" i="19"/>
  <c r="I107" i="19"/>
  <c r="K106" i="19"/>
  <c r="J98" i="19"/>
  <c r="V62" i="19"/>
  <c r="Z62" i="19"/>
  <c r="J158" i="19"/>
  <c r="I167" i="19"/>
  <c r="K166" i="19"/>
  <c r="J130" i="19"/>
  <c r="V172" i="19"/>
  <c r="Z172" i="19"/>
  <c r="J81" i="19"/>
  <c r="Y114" i="19"/>
  <c r="I147" i="19"/>
  <c r="K146" i="19"/>
  <c r="AF112" i="19"/>
  <c r="AO112" i="19"/>
  <c r="BD112" i="19"/>
  <c r="AY112" i="19"/>
  <c r="BF112" i="19"/>
  <c r="AG112" i="19"/>
  <c r="AW112" i="19"/>
  <c r="BE112" i="19"/>
  <c r="AP112" i="19"/>
  <c r="AH112" i="19"/>
  <c r="AN112" i="19"/>
  <c r="AX112" i="19"/>
  <c r="BG112" i="19"/>
  <c r="AV112" i="19"/>
  <c r="AI112" i="19"/>
  <c r="AQ112" i="19"/>
  <c r="J46" i="19"/>
  <c r="V130" i="19"/>
  <c r="Z130" i="19"/>
  <c r="V45" i="19"/>
  <c r="AF153" i="19"/>
  <c r="BD153" i="19"/>
  <c r="AO153" i="19"/>
  <c r="BF153" i="19"/>
  <c r="BE153" i="19"/>
  <c r="BG153" i="19"/>
  <c r="AV153" i="19"/>
  <c r="AH153" i="19"/>
  <c r="AG153" i="19"/>
  <c r="AX153" i="19"/>
  <c r="AN153" i="19"/>
  <c r="AI153" i="19"/>
  <c r="AQ153" i="19"/>
  <c r="AP153" i="19"/>
  <c r="AY153" i="19"/>
  <c r="AW153" i="19"/>
  <c r="Z77" i="19"/>
  <c r="V77" i="19"/>
  <c r="AF129" i="19"/>
  <c r="BF129" i="19"/>
  <c r="AV129" i="19"/>
  <c r="AY129" i="19"/>
  <c r="AO129" i="19"/>
  <c r="AX129" i="19"/>
  <c r="BD129" i="19"/>
  <c r="AH129" i="19"/>
  <c r="AP129" i="19"/>
  <c r="BE129" i="19"/>
  <c r="BG129" i="19"/>
  <c r="AI129" i="19"/>
  <c r="AW129" i="19"/>
  <c r="AN129" i="19"/>
  <c r="AG129" i="19"/>
  <c r="AQ129" i="19"/>
  <c r="I72" i="19"/>
  <c r="K71" i="19"/>
  <c r="AF61" i="19"/>
  <c r="AY61" i="19"/>
  <c r="BD61" i="19"/>
  <c r="BG61" i="19"/>
  <c r="AO61" i="19"/>
  <c r="BF61" i="19"/>
  <c r="AV61" i="19"/>
  <c r="AX61" i="19"/>
  <c r="AP61" i="19"/>
  <c r="AG61" i="19"/>
  <c r="AW61" i="19"/>
  <c r="AH61" i="19"/>
  <c r="AN61" i="19"/>
  <c r="AI61" i="19"/>
  <c r="AQ61" i="19"/>
  <c r="BE61" i="19"/>
  <c r="J174" i="19"/>
  <c r="I125" i="19"/>
  <c r="K124" i="19"/>
  <c r="I89" i="19"/>
  <c r="K88" i="19"/>
  <c r="AF157" i="19"/>
  <c r="AY157" i="19"/>
  <c r="AO157" i="19"/>
  <c r="BF157" i="19"/>
  <c r="BE157" i="19"/>
  <c r="AX157" i="19"/>
  <c r="AW157" i="19"/>
  <c r="BG157" i="19"/>
  <c r="AV157" i="19"/>
  <c r="AN157" i="19"/>
  <c r="AH157" i="19"/>
  <c r="AG157" i="19"/>
  <c r="BD157" i="19"/>
  <c r="AI157" i="19"/>
  <c r="AQ157" i="19"/>
  <c r="AP157" i="19"/>
  <c r="I57" i="19"/>
  <c r="K56" i="19"/>
  <c r="AF171" i="19"/>
  <c r="AO171" i="19"/>
  <c r="AV171" i="19"/>
  <c r="BE171" i="19"/>
  <c r="AX171" i="19"/>
  <c r="AI171" i="19"/>
  <c r="AG171" i="19"/>
  <c r="AP171" i="19"/>
  <c r="AH171" i="19"/>
  <c r="AW171" i="19"/>
  <c r="AQ171" i="19"/>
  <c r="AN171" i="19"/>
  <c r="AY171" i="19"/>
  <c r="BD171" i="19"/>
  <c r="BG171" i="19"/>
  <c r="BF171" i="19"/>
  <c r="I21" i="19"/>
  <c r="K20" i="19"/>
  <c r="V113" i="19"/>
  <c r="Z113" i="19"/>
  <c r="Y154" i="19"/>
  <c r="Z154" i="19" s="1"/>
  <c r="J30" i="19"/>
  <c r="J62" i="19"/>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72" i="21" a="1"/>
  <c r="L360" i="21" a="1"/>
  <c r="M362" i="21" a="1"/>
  <c r="Z173" i="21" l="1"/>
  <c r="Y156" i="19"/>
  <c r="Z156" i="19" s="1"/>
  <c r="Y155" i="19"/>
  <c r="Z155" i="19" s="1"/>
  <c r="J31" i="19"/>
  <c r="K30" i="19" s="1"/>
  <c r="I30" i="19" s="1"/>
  <c r="K29" i="19"/>
  <c r="J63" i="19"/>
  <c r="AF154" i="19"/>
  <c r="AY154" i="19"/>
  <c r="AO154" i="19"/>
  <c r="BD154" i="19"/>
  <c r="BF154" i="19"/>
  <c r="AV154" i="19"/>
  <c r="AN154" i="19"/>
  <c r="AH154" i="19"/>
  <c r="BG154" i="19"/>
  <c r="AP154" i="19"/>
  <c r="AG154" i="19"/>
  <c r="AX154" i="19"/>
  <c r="AW154" i="19"/>
  <c r="BE154" i="19"/>
  <c r="AI154" i="19"/>
  <c r="AQ154" i="19"/>
  <c r="I146" i="19"/>
  <c r="K145" i="19"/>
  <c r="K80" i="19"/>
  <c r="J82" i="19"/>
  <c r="K81" i="19" s="1"/>
  <c r="I81" i="19" s="1"/>
  <c r="V173" i="19"/>
  <c r="Z173" i="19"/>
  <c r="I106" i="19"/>
  <c r="K105" i="19"/>
  <c r="I20" i="19"/>
  <c r="K19" i="19"/>
  <c r="V78" i="19"/>
  <c r="Z78" i="19"/>
  <c r="AF45" i="19"/>
  <c r="BD45" i="19"/>
  <c r="AY45" i="19"/>
  <c r="BG45" i="19"/>
  <c r="AV45" i="19"/>
  <c r="AX45" i="19"/>
  <c r="AG45" i="19"/>
  <c r="AH45" i="19"/>
  <c r="BE45" i="19"/>
  <c r="AW45" i="19"/>
  <c r="AI45" i="19"/>
  <c r="AQ45" i="19"/>
  <c r="AN45" i="19"/>
  <c r="AP45" i="19"/>
  <c r="BF45" i="19"/>
  <c r="AO45" i="19"/>
  <c r="V131" i="19"/>
  <c r="Z131" i="19"/>
  <c r="J131" i="19"/>
  <c r="J159" i="19"/>
  <c r="K158" i="19" s="1"/>
  <c r="I158" i="19" s="1"/>
  <c r="K157" i="19"/>
  <c r="V63" i="19"/>
  <c r="Z63" i="19"/>
  <c r="Y46" i="19"/>
  <c r="Z46" i="19" s="1"/>
  <c r="I88" i="19"/>
  <c r="K87" i="19"/>
  <c r="Z114" i="19"/>
  <c r="V114" i="19"/>
  <c r="V46" i="19"/>
  <c r="AF172" i="19"/>
  <c r="AO172" i="19"/>
  <c r="AX172" i="19"/>
  <c r="AN172" i="19"/>
  <c r="AQ172" i="19"/>
  <c r="AP172" i="19"/>
  <c r="AG172" i="19"/>
  <c r="BG172" i="19"/>
  <c r="AI172" i="19"/>
  <c r="AH172" i="19"/>
  <c r="AW172" i="19"/>
  <c r="AY172" i="19"/>
  <c r="BD172" i="19"/>
  <c r="AV172" i="19"/>
  <c r="BE172" i="19"/>
  <c r="BF172" i="19"/>
  <c r="J99" i="19"/>
  <c r="K98" i="19" s="1"/>
  <c r="I98" i="19" s="1"/>
  <c r="I38" i="19"/>
  <c r="K37" i="19"/>
  <c r="J115" i="19"/>
  <c r="J175" i="19"/>
  <c r="J47" i="19"/>
  <c r="AF113" i="19"/>
  <c r="AY113" i="19"/>
  <c r="BD113" i="19"/>
  <c r="AO113" i="19"/>
  <c r="BF113" i="19"/>
  <c r="AN113" i="19"/>
  <c r="AP113" i="19"/>
  <c r="AW113" i="19"/>
  <c r="BG113" i="19"/>
  <c r="AH113" i="19"/>
  <c r="AG113" i="19"/>
  <c r="AX113" i="19"/>
  <c r="AI113" i="19"/>
  <c r="AQ113" i="19"/>
  <c r="AV113" i="19"/>
  <c r="BE113" i="19"/>
  <c r="I56" i="19"/>
  <c r="K55" i="19"/>
  <c r="I124" i="19"/>
  <c r="K123" i="19"/>
  <c r="I71" i="19"/>
  <c r="K70" i="19"/>
  <c r="AF77" i="19"/>
  <c r="BF77" i="19"/>
  <c r="AY77" i="19"/>
  <c r="AO77" i="19"/>
  <c r="BD77" i="19"/>
  <c r="AX77" i="19"/>
  <c r="BG77" i="19"/>
  <c r="AV77" i="19"/>
  <c r="BE77" i="19"/>
  <c r="AN77" i="19"/>
  <c r="AG77" i="19"/>
  <c r="AW77" i="19"/>
  <c r="AH77" i="19"/>
  <c r="AI77" i="19"/>
  <c r="AQ77" i="19"/>
  <c r="AP77" i="19"/>
  <c r="AF130" i="19"/>
  <c r="BD130" i="19"/>
  <c r="AV130" i="19"/>
  <c r="BF130" i="19"/>
  <c r="AY130" i="19"/>
  <c r="AO130" i="19"/>
  <c r="BG130" i="19"/>
  <c r="AW130" i="19"/>
  <c r="AX130" i="19"/>
  <c r="AH130" i="19"/>
  <c r="AP130" i="19"/>
  <c r="AG130" i="19"/>
  <c r="BE130" i="19"/>
  <c r="AN130" i="19"/>
  <c r="AI130" i="19"/>
  <c r="AQ130" i="19"/>
  <c r="Y116" i="19"/>
  <c r="Y115" i="19"/>
  <c r="I166" i="19"/>
  <c r="K165" i="19"/>
  <c r="AF62" i="19"/>
  <c r="BF62" i="19"/>
  <c r="AX62" i="19"/>
  <c r="BG62" i="19"/>
  <c r="AY62" i="19"/>
  <c r="BE62" i="19"/>
  <c r="AO62" i="19"/>
  <c r="BD62" i="19"/>
  <c r="AH62" i="19"/>
  <c r="AG62" i="19"/>
  <c r="AN62" i="19"/>
  <c r="AP62" i="19"/>
  <c r="AI62" i="19"/>
  <c r="AQ62" i="19"/>
  <c r="AV62" i="19"/>
  <c r="AW62" i="19"/>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AF46" i="19" l="1"/>
  <c r="AV46" i="19"/>
  <c r="AY46" i="19"/>
  <c r="AH46" i="19"/>
  <c r="AX46" i="19"/>
  <c r="AI46" i="19"/>
  <c r="AW46" i="19"/>
  <c r="AG46" i="19"/>
  <c r="BG46" i="19"/>
  <c r="AP46" i="19"/>
  <c r="AQ46" i="19"/>
  <c r="AO46" i="19"/>
  <c r="BF46" i="19"/>
  <c r="BE46" i="19"/>
  <c r="BD46" i="19"/>
  <c r="AN46" i="19"/>
  <c r="I165" i="19"/>
  <c r="K164" i="19"/>
  <c r="I55" i="19"/>
  <c r="K54" i="19"/>
  <c r="I37" i="19"/>
  <c r="K36" i="19"/>
  <c r="V64" i="19"/>
  <c r="Z64" i="19"/>
  <c r="V174" i="19"/>
  <c r="Z174" i="19"/>
  <c r="I29" i="19"/>
  <c r="K28" i="19"/>
  <c r="J176" i="19"/>
  <c r="V115" i="19"/>
  <c r="Z115" i="19"/>
  <c r="Y48" i="19"/>
  <c r="Y47" i="19"/>
  <c r="I157" i="19"/>
  <c r="K156" i="19"/>
  <c r="AF131" i="19"/>
  <c r="AY131" i="19"/>
  <c r="AV131" i="19"/>
  <c r="BD131" i="19"/>
  <c r="AW131" i="19"/>
  <c r="BE131" i="19"/>
  <c r="AN131" i="19"/>
  <c r="AX131" i="19"/>
  <c r="BG131" i="19"/>
  <c r="AI131" i="19"/>
  <c r="AQ131" i="19"/>
  <c r="AH131" i="19"/>
  <c r="AG131" i="19"/>
  <c r="AP131" i="19"/>
  <c r="BF131" i="19"/>
  <c r="AO131" i="19"/>
  <c r="I105" i="19"/>
  <c r="K104" i="19"/>
  <c r="I70" i="19"/>
  <c r="K69" i="19"/>
  <c r="AF114" i="19"/>
  <c r="BD114" i="19"/>
  <c r="AO114" i="19"/>
  <c r="BF114" i="19"/>
  <c r="AY114" i="19"/>
  <c r="AG114" i="19"/>
  <c r="AW114" i="19"/>
  <c r="BG114" i="19"/>
  <c r="AQ114" i="19"/>
  <c r="AH114" i="19"/>
  <c r="AX114" i="19"/>
  <c r="AV114" i="19"/>
  <c r="BE114" i="19"/>
  <c r="AI114" i="19"/>
  <c r="AN114" i="19"/>
  <c r="AP114" i="19"/>
  <c r="J132" i="19"/>
  <c r="AF78" i="19"/>
  <c r="BF78" i="19"/>
  <c r="AO78" i="19"/>
  <c r="AY78" i="19"/>
  <c r="AV78" i="19"/>
  <c r="BE78" i="19"/>
  <c r="BD78" i="19"/>
  <c r="AH78" i="19"/>
  <c r="AN78" i="19"/>
  <c r="AI78" i="19"/>
  <c r="AQ78" i="19"/>
  <c r="AP78" i="19"/>
  <c r="AG78" i="19"/>
  <c r="BG78" i="19"/>
  <c r="AX78" i="19"/>
  <c r="AW78" i="19"/>
  <c r="I145" i="19"/>
  <c r="K144" i="19"/>
  <c r="I123" i="19"/>
  <c r="K122" i="19"/>
  <c r="J48" i="19"/>
  <c r="K47" i="19" s="1"/>
  <c r="I47" i="19" s="1"/>
  <c r="K46" i="19"/>
  <c r="K97" i="19"/>
  <c r="Z47" i="19"/>
  <c r="V47" i="19"/>
  <c r="I87" i="19"/>
  <c r="K86" i="19"/>
  <c r="AF63" i="19"/>
  <c r="AV63" i="19"/>
  <c r="AX63" i="19"/>
  <c r="AY63" i="19"/>
  <c r="BE63" i="19"/>
  <c r="AN63" i="19"/>
  <c r="AW63" i="19"/>
  <c r="AP63" i="19"/>
  <c r="AH63" i="19"/>
  <c r="AG63" i="19"/>
  <c r="AI63" i="19"/>
  <c r="AQ63" i="19"/>
  <c r="BD63" i="19"/>
  <c r="AO63" i="19"/>
  <c r="BG63" i="19"/>
  <c r="BF63" i="19"/>
  <c r="AD131" i="19"/>
  <c r="AT131" i="19"/>
  <c r="AU131" i="19"/>
  <c r="AM131" i="19"/>
  <c r="BC131" i="19"/>
  <c r="AE131" i="19"/>
  <c r="AL131" i="19"/>
  <c r="BB131" i="19"/>
  <c r="V79" i="19"/>
  <c r="Z79" i="19"/>
  <c r="J64" i="19"/>
  <c r="AF155" i="19"/>
  <c r="AY155" i="19"/>
  <c r="AX155" i="19"/>
  <c r="AW155" i="19"/>
  <c r="AH155" i="19"/>
  <c r="AG155" i="19"/>
  <c r="AV155" i="19"/>
  <c r="AI155" i="19"/>
  <c r="BG155" i="19"/>
  <c r="AO155" i="19"/>
  <c r="AN155" i="19"/>
  <c r="BF155" i="19"/>
  <c r="BE155" i="19"/>
  <c r="AP155" i="19"/>
  <c r="AQ155" i="19"/>
  <c r="BD155" i="19"/>
  <c r="J116" i="19"/>
  <c r="K115" i="19" s="1"/>
  <c r="I115" i="19" s="1"/>
  <c r="K114" i="19"/>
  <c r="V132" i="19"/>
  <c r="Z132" i="19"/>
  <c r="I19" i="19"/>
  <c r="K18" i="19"/>
  <c r="AF173" i="19"/>
  <c r="AX173" i="19"/>
  <c r="BF173" i="19"/>
  <c r="BD173" i="19"/>
  <c r="AY173" i="19"/>
  <c r="AV173" i="19"/>
  <c r="AO173" i="19"/>
  <c r="AH173" i="19"/>
  <c r="BG173" i="19"/>
  <c r="AG173" i="19"/>
  <c r="AP173" i="19"/>
  <c r="AN173" i="19"/>
  <c r="AW173" i="19"/>
  <c r="BE173" i="19"/>
  <c r="AI173" i="19"/>
  <c r="AQ173" i="19"/>
  <c r="I80" i="19"/>
  <c r="K79" i="19"/>
  <c r="AF156" i="19"/>
  <c r="AY156" i="19"/>
  <c r="AV156" i="19"/>
  <c r="AX156" i="19"/>
  <c r="AH156" i="19"/>
  <c r="AW156" i="19"/>
  <c r="AG156" i="19"/>
  <c r="AI156" i="19"/>
  <c r="AN156" i="19"/>
  <c r="BE156" i="19"/>
  <c r="AP156" i="19"/>
  <c r="AO156" i="19"/>
  <c r="BF156" i="19"/>
  <c r="BG156" i="19"/>
  <c r="BD156" i="19"/>
  <c r="AQ156" i="19"/>
  <c r="R283" i="2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AF174" i="19"/>
  <c r="BF174" i="19"/>
  <c r="AO174" i="19"/>
  <c r="AY174" i="19"/>
  <c r="AV174" i="19"/>
  <c r="BE174" i="19"/>
  <c r="BD174" i="19"/>
  <c r="AH174" i="19"/>
  <c r="AN174" i="19"/>
  <c r="AP174" i="19"/>
  <c r="AG174" i="19"/>
  <c r="AI174" i="19"/>
  <c r="BG174" i="19"/>
  <c r="AX174" i="19"/>
  <c r="AQ174" i="19"/>
  <c r="AW174" i="19"/>
  <c r="AD47" i="19"/>
  <c r="AT47" i="19"/>
  <c r="AU47" i="19"/>
  <c r="AE47" i="19"/>
  <c r="BB47" i="19"/>
  <c r="BC47" i="19"/>
  <c r="AL47" i="19"/>
  <c r="AM47" i="19"/>
  <c r="I46" i="19"/>
  <c r="K45" i="19"/>
  <c r="I144" i="19"/>
  <c r="K143" i="19"/>
  <c r="I69" i="19"/>
  <c r="K68" i="19"/>
  <c r="I156" i="19"/>
  <c r="K155" i="19"/>
  <c r="AF115" i="19"/>
  <c r="AV115" i="19"/>
  <c r="AI115" i="19"/>
  <c r="AX115" i="19"/>
  <c r="AW115" i="19"/>
  <c r="AG115" i="19"/>
  <c r="AP115" i="19"/>
  <c r="AY115" i="19"/>
  <c r="AH115" i="19"/>
  <c r="BG115" i="19"/>
  <c r="BD115" i="19"/>
  <c r="AN115" i="19"/>
  <c r="BE115" i="19"/>
  <c r="AO115" i="19"/>
  <c r="BF115" i="19"/>
  <c r="AQ115" i="19"/>
  <c r="J177" i="19"/>
  <c r="AD174" i="19"/>
  <c r="BB174" i="19"/>
  <c r="AU174" i="19"/>
  <c r="BC174" i="19"/>
  <c r="AT174" i="19"/>
  <c r="AM174" i="19"/>
  <c r="AE174" i="19"/>
  <c r="AL174" i="19"/>
  <c r="V65" i="19"/>
  <c r="Z65" i="19"/>
  <c r="I114" i="19"/>
  <c r="K113" i="19"/>
  <c r="I97" i="19"/>
  <c r="K96" i="19"/>
  <c r="J133" i="19"/>
  <c r="AU64" i="19"/>
  <c r="AD64" i="19"/>
  <c r="AT64" i="19"/>
  <c r="AE64" i="19"/>
  <c r="AL64" i="19"/>
  <c r="AM64" i="19"/>
  <c r="BB64" i="19"/>
  <c r="BC64" i="19"/>
  <c r="AD115" i="19"/>
  <c r="AT115" i="19"/>
  <c r="AU115" i="19"/>
  <c r="AE115" i="19"/>
  <c r="AM115" i="19"/>
  <c r="AL115" i="19"/>
  <c r="BB115" i="19"/>
  <c r="BC115" i="19"/>
  <c r="I28" i="19"/>
  <c r="K27" i="19"/>
  <c r="V175" i="19"/>
  <c r="Z175" i="19"/>
  <c r="I36" i="19"/>
  <c r="K35" i="19"/>
  <c r="I164" i="19"/>
  <c r="K163" i="19"/>
  <c r="I18" i="19"/>
  <c r="K17" i="19"/>
  <c r="AF79" i="19"/>
  <c r="AY79" i="19"/>
  <c r="AI79" i="19"/>
  <c r="AH79" i="19"/>
  <c r="AW79" i="19"/>
  <c r="AV79" i="19"/>
  <c r="BG79" i="19"/>
  <c r="AX79" i="19"/>
  <c r="AG79" i="19"/>
  <c r="AO79" i="19"/>
  <c r="BF79" i="19"/>
  <c r="AP79" i="19"/>
  <c r="AQ79" i="19"/>
  <c r="BD79" i="19"/>
  <c r="BE79" i="19"/>
  <c r="AN79" i="19"/>
  <c r="I54" i="19"/>
  <c r="K53" i="19"/>
  <c r="I79" i="19"/>
  <c r="K78" i="19"/>
  <c r="AF132" i="19"/>
  <c r="BF132" i="19"/>
  <c r="AX132" i="19"/>
  <c r="AO132" i="19"/>
  <c r="BD132" i="19"/>
  <c r="AY132" i="19"/>
  <c r="AV132" i="19"/>
  <c r="BE132" i="19"/>
  <c r="AI132" i="19"/>
  <c r="AH132" i="19"/>
  <c r="BG132" i="19"/>
  <c r="AP132" i="19"/>
  <c r="AG132" i="19"/>
  <c r="AW132" i="19"/>
  <c r="AQ132" i="19"/>
  <c r="AN132" i="19"/>
  <c r="V80" i="19"/>
  <c r="Z80" i="19"/>
  <c r="AF47" i="19"/>
  <c r="AY47" i="19"/>
  <c r="AV47" i="19"/>
  <c r="AG47" i="19"/>
  <c r="AX47" i="19"/>
  <c r="AH47" i="19"/>
  <c r="AW47" i="19"/>
  <c r="AI47" i="19"/>
  <c r="BD47" i="19"/>
  <c r="BG47" i="19"/>
  <c r="BF47" i="19"/>
  <c r="AQ47" i="19"/>
  <c r="AN47" i="19"/>
  <c r="AP47" i="19"/>
  <c r="AO47" i="19"/>
  <c r="BE47" i="19"/>
  <c r="AU132" i="19"/>
  <c r="AD132" i="19"/>
  <c r="BB132" i="19"/>
  <c r="AT132" i="19"/>
  <c r="BC132" i="19"/>
  <c r="AE132" i="19"/>
  <c r="AL132" i="19"/>
  <c r="AM132" i="19"/>
  <c r="K63" i="19"/>
  <c r="J65" i="19"/>
  <c r="K64" i="19" s="1"/>
  <c r="I64" i="19" s="1"/>
  <c r="I86" i="19"/>
  <c r="K85" i="19"/>
  <c r="Z48" i="19"/>
  <c r="V48" i="19"/>
  <c r="I122" i="19"/>
  <c r="K121" i="19"/>
  <c r="I104" i="19"/>
  <c r="K103" i="19"/>
  <c r="V116" i="19"/>
  <c r="Z116" i="19"/>
  <c r="AF64" i="19"/>
  <c r="AY64" i="19"/>
  <c r="AI64" i="19"/>
  <c r="AG64" i="19"/>
  <c r="AX64" i="19"/>
  <c r="AV64" i="19"/>
  <c r="AH64" i="19"/>
  <c r="AW64" i="19"/>
  <c r="AO64" i="19"/>
  <c r="BD64" i="19"/>
  <c r="BE64" i="19"/>
  <c r="BG64" i="19"/>
  <c r="BF64" i="19"/>
  <c r="AN64" i="19"/>
  <c r="AQ64" i="19"/>
  <c r="AP64" i="19"/>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I17" i="19" l="1"/>
  <c r="K16" i="19"/>
  <c r="I121" i="19"/>
  <c r="K120" i="19"/>
  <c r="AF80" i="19"/>
  <c r="AY80" i="19"/>
  <c r="AV80" i="19"/>
  <c r="AG80" i="19"/>
  <c r="AH80" i="19"/>
  <c r="AX80" i="19"/>
  <c r="AW80" i="19"/>
  <c r="AI80" i="19"/>
  <c r="BD80" i="19"/>
  <c r="AQ80" i="19"/>
  <c r="BF80" i="19"/>
  <c r="AN80" i="19"/>
  <c r="BG80" i="19"/>
  <c r="BE80" i="19"/>
  <c r="AO80" i="19"/>
  <c r="AP80" i="19"/>
  <c r="AD65" i="19"/>
  <c r="AT65" i="19"/>
  <c r="AU65" i="19"/>
  <c r="AE65" i="19"/>
  <c r="AL65" i="19"/>
  <c r="BB65" i="19"/>
  <c r="BC65" i="19"/>
  <c r="AM65" i="19"/>
  <c r="I63" i="19"/>
  <c r="K62" i="19"/>
  <c r="I27" i="19"/>
  <c r="K26" i="19"/>
  <c r="I96" i="19"/>
  <c r="K95" i="19"/>
  <c r="I155" i="19"/>
  <c r="K154" i="19"/>
  <c r="I85" i="19"/>
  <c r="K84" i="19"/>
  <c r="AD116" i="19"/>
  <c r="AT116" i="19"/>
  <c r="AU116" i="19"/>
  <c r="AE116" i="19"/>
  <c r="AL116" i="19"/>
  <c r="AM116" i="19"/>
  <c r="BB116" i="19"/>
  <c r="BC116" i="19"/>
  <c r="I53" i="19"/>
  <c r="K52" i="19"/>
  <c r="I163" i="19"/>
  <c r="K162" i="19"/>
  <c r="AF175" i="19"/>
  <c r="AY175" i="19"/>
  <c r="BF175" i="19"/>
  <c r="BD175" i="19"/>
  <c r="AO175" i="19"/>
  <c r="AN175" i="19"/>
  <c r="AI175" i="19"/>
  <c r="AW175" i="19"/>
  <c r="AX175" i="19"/>
  <c r="AP175" i="19"/>
  <c r="AH175" i="19"/>
  <c r="AG175" i="19"/>
  <c r="BE175" i="19"/>
  <c r="AV175" i="19"/>
  <c r="BG175" i="19"/>
  <c r="AQ175" i="19"/>
  <c r="J134" i="19"/>
  <c r="I113" i="19"/>
  <c r="K112" i="19"/>
  <c r="K176" i="19"/>
  <c r="J178" i="19"/>
  <c r="I68" i="19"/>
  <c r="K67" i="19"/>
  <c r="I45" i="19"/>
  <c r="K44" i="19"/>
  <c r="AF48" i="19"/>
  <c r="AY48" i="19"/>
  <c r="AV48" i="19"/>
  <c r="AG48" i="19"/>
  <c r="AW48" i="19"/>
  <c r="AH48" i="19"/>
  <c r="AI48" i="19"/>
  <c r="AX48" i="19"/>
  <c r="BD48" i="19"/>
  <c r="AN48" i="19"/>
  <c r="BF48" i="19"/>
  <c r="AP48" i="19"/>
  <c r="BG48" i="19"/>
  <c r="AQ48" i="19"/>
  <c r="AO48" i="19"/>
  <c r="BE48" i="19"/>
  <c r="I78" i="19"/>
  <c r="K77" i="19"/>
  <c r="I35" i="19"/>
  <c r="K34" i="19"/>
  <c r="AF65" i="19"/>
  <c r="AV65" i="19"/>
  <c r="AX65" i="19"/>
  <c r="AY65" i="19"/>
  <c r="AH65" i="19"/>
  <c r="AW65" i="19"/>
  <c r="AG65" i="19"/>
  <c r="AI65" i="19"/>
  <c r="BF65" i="19"/>
  <c r="AQ65" i="19"/>
  <c r="BG65" i="19"/>
  <c r="AP65" i="19"/>
  <c r="BE65" i="19"/>
  <c r="AN65" i="19"/>
  <c r="AO65" i="19"/>
  <c r="BD65" i="19"/>
  <c r="I143" i="19"/>
  <c r="K142" i="19"/>
  <c r="I142" i="19" s="1"/>
  <c r="AF116" i="19"/>
  <c r="AX116" i="19"/>
  <c r="AY116" i="19"/>
  <c r="AV116" i="19"/>
  <c r="AG116" i="19"/>
  <c r="AH116" i="19"/>
  <c r="AW116" i="19"/>
  <c r="AI116" i="19"/>
  <c r="AQ116" i="19"/>
  <c r="AO116" i="19"/>
  <c r="AN116" i="19"/>
  <c r="BF116" i="19"/>
  <c r="BD116" i="19"/>
  <c r="BG116" i="19"/>
  <c r="BE116" i="19"/>
  <c r="AP116" i="19"/>
  <c r="I103" i="19"/>
  <c r="K102" i="19"/>
  <c r="AD48" i="19"/>
  <c r="AT48" i="19"/>
  <c r="AU48" i="19"/>
  <c r="AE48" i="19"/>
  <c r="AM48" i="19"/>
  <c r="AL48" i="19"/>
  <c r="BB48" i="19"/>
  <c r="BC48" i="19"/>
  <c r="V81" i="19"/>
  <c r="Z81" i="19"/>
  <c r="AD175" i="19"/>
  <c r="AT175" i="19"/>
  <c r="BB175" i="19"/>
  <c r="AL175" i="19"/>
  <c r="AM175" i="19"/>
  <c r="BC175" i="19"/>
  <c r="AE175" i="19"/>
  <c r="AU175" i="19"/>
  <c r="Q285" i="2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K133" i="19"/>
  <c r="J135" i="19"/>
  <c r="I176" i="19"/>
  <c r="K175" i="19"/>
  <c r="I34" i="19"/>
  <c r="K33" i="19"/>
  <c r="I44" i="19"/>
  <c r="K43" i="19"/>
  <c r="I26" i="19"/>
  <c r="K25" i="19"/>
  <c r="I25" i="19" s="1"/>
  <c r="V82" i="19"/>
  <c r="Z82" i="19"/>
  <c r="I77" i="19"/>
  <c r="K76" i="19"/>
  <c r="I76" i="19" s="1"/>
  <c r="I67" i="19"/>
  <c r="H67" i="19"/>
  <c r="H68" i="19" s="1"/>
  <c r="H69" i="19" s="1"/>
  <c r="H70" i="19" s="1"/>
  <c r="H71" i="19" s="1"/>
  <c r="H72" i="19" s="1"/>
  <c r="H73" i="19" s="1"/>
  <c r="H74" i="19" s="1"/>
  <c r="H75" i="19" s="1"/>
  <c r="H76" i="19" s="1"/>
  <c r="H77" i="19" s="1"/>
  <c r="H78" i="19" s="1"/>
  <c r="H79" i="19" s="1"/>
  <c r="H80" i="19" s="1"/>
  <c r="H81" i="19" s="1"/>
  <c r="H82" i="19" s="1"/>
  <c r="K66" i="19"/>
  <c r="I112" i="19"/>
  <c r="K111" i="19"/>
  <c r="I162" i="19"/>
  <c r="K161" i="19"/>
  <c r="I84" i="19"/>
  <c r="K83" i="19"/>
  <c r="I83" i="19" s="1"/>
  <c r="I95" i="19"/>
  <c r="K94" i="19"/>
  <c r="I62" i="19"/>
  <c r="K61" i="19"/>
  <c r="I16" i="19"/>
  <c r="H16" i="19"/>
  <c r="H17" i="19" s="1"/>
  <c r="H18" i="19" s="1"/>
  <c r="H19" i="19" s="1"/>
  <c r="H20" i="19" s="1"/>
  <c r="H21" i="19" s="1"/>
  <c r="H22" i="19" s="1"/>
  <c r="H23" i="19" s="1"/>
  <c r="H24" i="19" s="1"/>
  <c r="H25" i="19" s="1"/>
  <c r="H26" i="19" s="1"/>
  <c r="H27" i="19" s="1"/>
  <c r="H28" i="19" s="1"/>
  <c r="H29" i="19" s="1"/>
  <c r="H30" i="19" s="1"/>
  <c r="H31" i="19" s="1"/>
  <c r="K15" i="19"/>
  <c r="I15" i="19" s="1"/>
  <c r="AF81" i="19"/>
  <c r="AY81" i="19"/>
  <c r="AX81" i="19"/>
  <c r="AH81" i="19"/>
  <c r="AW81" i="19"/>
  <c r="AI81" i="19"/>
  <c r="AV81" i="19"/>
  <c r="AG81" i="19"/>
  <c r="BG81" i="19"/>
  <c r="BF81" i="19"/>
  <c r="BE81" i="19"/>
  <c r="AN81" i="19"/>
  <c r="AO81" i="19"/>
  <c r="AQ81" i="19"/>
  <c r="AP81" i="19"/>
  <c r="BD81" i="19"/>
  <c r="J179" i="19"/>
  <c r="I52" i="19"/>
  <c r="K51" i="19"/>
  <c r="I154" i="19"/>
  <c r="K153" i="19"/>
  <c r="I120" i="19"/>
  <c r="K119" i="19"/>
  <c r="AD81" i="19"/>
  <c r="AU81" i="19"/>
  <c r="AT81" i="19"/>
  <c r="AE81" i="19"/>
  <c r="BC81" i="19"/>
  <c r="BB81" i="19"/>
  <c r="AM81" i="19"/>
  <c r="AL81" i="19"/>
  <c r="H143" i="19"/>
  <c r="H144" i="19" s="1"/>
  <c r="H145" i="19" s="1"/>
  <c r="H146" i="19" s="1"/>
  <c r="H147" i="19" s="1"/>
  <c r="H148" i="19" s="1"/>
  <c r="H149" i="19" s="1"/>
  <c r="H150" i="19" s="1"/>
  <c r="H151" i="19" s="1"/>
  <c r="I102" i="19"/>
  <c r="K101" i="19"/>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I61" i="19"/>
  <c r="K60" i="19"/>
  <c r="I43" i="19"/>
  <c r="K42" i="19"/>
  <c r="I42" i="19" s="1"/>
  <c r="AF82" i="19"/>
  <c r="AY82" i="19"/>
  <c r="AX82" i="19"/>
  <c r="AV82" i="19"/>
  <c r="AG82" i="19"/>
  <c r="AW82" i="19"/>
  <c r="AI82" i="19"/>
  <c r="AH82" i="19"/>
  <c r="AO82" i="19"/>
  <c r="AP82" i="19"/>
  <c r="BF82" i="19"/>
  <c r="BD82" i="19"/>
  <c r="AN82" i="19"/>
  <c r="AQ82" i="19"/>
  <c r="BG82" i="19"/>
  <c r="BE82" i="19"/>
  <c r="I175" i="19"/>
  <c r="K174" i="19"/>
  <c r="I119" i="19"/>
  <c r="K118" i="19"/>
  <c r="I51" i="19"/>
  <c r="K50" i="19"/>
  <c r="I111" i="19"/>
  <c r="K110" i="19"/>
  <c r="I110" i="19" s="1"/>
  <c r="AD82" i="19"/>
  <c r="AU82" i="19"/>
  <c r="AT82" i="19"/>
  <c r="AE82" i="19"/>
  <c r="AL82" i="19"/>
  <c r="AM82" i="19"/>
  <c r="BC82" i="19"/>
  <c r="BB82" i="19"/>
  <c r="I94" i="19"/>
  <c r="K93" i="19"/>
  <c r="I93" i="19" s="1"/>
  <c r="H84" i="19"/>
  <c r="H85" i="19" s="1"/>
  <c r="H86" i="19" s="1"/>
  <c r="H87" i="19" s="1"/>
  <c r="H88" i="19" s="1"/>
  <c r="H89" i="19" s="1"/>
  <c r="H90" i="19" s="1"/>
  <c r="H91" i="19" s="1"/>
  <c r="H92" i="19" s="1"/>
  <c r="H93" i="19" s="1"/>
  <c r="H94" i="19" s="1"/>
  <c r="H95" i="19" s="1"/>
  <c r="H96" i="19" s="1"/>
  <c r="H97" i="19" s="1"/>
  <c r="H98" i="19" s="1"/>
  <c r="H99" i="19" s="1"/>
  <c r="I33" i="19"/>
  <c r="K32" i="19"/>
  <c r="H33" i="19"/>
  <c r="H34" i="19" s="1"/>
  <c r="H35" i="19" s="1"/>
  <c r="H36" i="19" s="1"/>
  <c r="H37" i="19" s="1"/>
  <c r="H38" i="19" s="1"/>
  <c r="H39" i="19" s="1"/>
  <c r="H40" i="19" s="1"/>
  <c r="H41" i="19" s="1"/>
  <c r="J136" i="19"/>
  <c r="K134" i="19"/>
  <c r="I134" i="19" s="1"/>
  <c r="J180" i="19"/>
  <c r="I101" i="19"/>
  <c r="K100" i="19"/>
  <c r="H101" i="19"/>
  <c r="H102" i="19" s="1"/>
  <c r="H103" i="19" s="1"/>
  <c r="H104" i="19" s="1"/>
  <c r="H105" i="19" s="1"/>
  <c r="H106" i="19" s="1"/>
  <c r="H107" i="19" s="1"/>
  <c r="H108" i="19" s="1"/>
  <c r="H109" i="19" s="1"/>
  <c r="I153" i="19"/>
  <c r="K152" i="19"/>
  <c r="I152" i="19" s="1"/>
  <c r="I161" i="19"/>
  <c r="K160" i="19"/>
  <c r="I160" i="19" s="1"/>
  <c r="I66" i="19"/>
  <c r="I133" i="19"/>
  <c r="K132" i="19"/>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H42" i="19" l="1"/>
  <c r="H43" i="19" s="1"/>
  <c r="H44" i="19" s="1"/>
  <c r="H45" i="19" s="1"/>
  <c r="H46" i="19" s="1"/>
  <c r="H47" i="19" s="1"/>
  <c r="H48" i="19" s="1"/>
  <c r="I50" i="19"/>
  <c r="K49" i="19"/>
  <c r="I49" i="19" s="1"/>
  <c r="I174" i="19"/>
  <c r="K173" i="19"/>
  <c r="I60" i="19"/>
  <c r="K59" i="19"/>
  <c r="I59" i="19" s="1"/>
  <c r="I118" i="19"/>
  <c r="H118" i="19"/>
  <c r="H119" i="19" s="1"/>
  <c r="H120" i="19" s="1"/>
  <c r="H121" i="19" s="1"/>
  <c r="H122" i="19" s="1"/>
  <c r="H123" i="19" s="1"/>
  <c r="H124" i="19" s="1"/>
  <c r="H125" i="19" s="1"/>
  <c r="H126" i="19" s="1"/>
  <c r="K117" i="19"/>
  <c r="J137" i="19"/>
  <c r="I132" i="19"/>
  <c r="K131" i="19"/>
  <c r="H161" i="19"/>
  <c r="H162" i="19" s="1"/>
  <c r="H163" i="19" s="1"/>
  <c r="H164" i="19" s="1"/>
  <c r="H165" i="19" s="1"/>
  <c r="H166" i="19" s="1"/>
  <c r="H167" i="19" s="1"/>
  <c r="H168" i="19" s="1"/>
  <c r="H169" i="19" s="1"/>
  <c r="H110" i="19"/>
  <c r="H111" i="19" s="1"/>
  <c r="H112" i="19" s="1"/>
  <c r="H113" i="19" s="1"/>
  <c r="H114" i="19" s="1"/>
  <c r="H115" i="19" s="1"/>
  <c r="H116" i="19" s="1"/>
  <c r="J181" i="19"/>
  <c r="I100" i="19"/>
  <c r="H152" i="19"/>
  <c r="H153" i="19" s="1"/>
  <c r="H154" i="19" s="1"/>
  <c r="H155" i="19" s="1"/>
  <c r="H156" i="19" s="1"/>
  <c r="H157" i="19" s="1"/>
  <c r="H158" i="19" s="1"/>
  <c r="H159" i="19" s="1"/>
  <c r="I32" i="19"/>
  <c r="Z172" i="2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J138" i="19" l="1"/>
  <c r="J182" i="19"/>
  <c r="I131" i="19"/>
  <c r="K130" i="19"/>
  <c r="I117" i="19"/>
  <c r="H50" i="19"/>
  <c r="H51" i="19" s="1"/>
  <c r="H52" i="19" s="1"/>
  <c r="H53" i="19" s="1"/>
  <c r="H54" i="19" s="1"/>
  <c r="H55" i="19" s="1"/>
  <c r="H56" i="19" s="1"/>
  <c r="H57" i="19" s="1"/>
  <c r="H58" i="19" s="1"/>
  <c r="H59" i="19" s="1"/>
  <c r="H60" i="19" s="1"/>
  <c r="H61" i="19" s="1"/>
  <c r="H62" i="19" s="1"/>
  <c r="H63" i="19" s="1"/>
  <c r="H64" i="19" s="1"/>
  <c r="H65" i="19" s="1"/>
  <c r="I173" i="19"/>
  <c r="K172" i="19"/>
  <c r="AD172" i="2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J183" i="19" l="1"/>
  <c r="I172" i="19"/>
  <c r="K171" i="19"/>
  <c r="I130" i="19"/>
  <c r="K129" i="19"/>
  <c r="J139" i="19"/>
  <c r="AK379" i="2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97" i="21" a="1"/>
  <c r="M412" i="21" a="1"/>
  <c r="L412" i="21" a="1"/>
  <c r="AC380" i="21" l="1"/>
  <c r="J140" i="19"/>
  <c r="I171" i="19"/>
  <c r="K170" i="19"/>
  <c r="I129" i="19"/>
  <c r="K128" i="19"/>
  <c r="K183" i="19"/>
  <c r="K182" i="19"/>
  <c r="X412" i="21"/>
  <c r="AD412" i="21" s="1"/>
  <c r="S412" i="21"/>
  <c r="L97" i="21"/>
  <c r="M412" i="21"/>
  <c r="L412" i="21"/>
  <c r="R96" i="21"/>
  <c r="AE94" i="21"/>
  <c r="AD94" i="21"/>
  <c r="AC95" i="21"/>
  <c r="AI95" i="21"/>
  <c r="X95" i="21"/>
  <c r="AH95" i="21" s="1"/>
  <c r="M97" i="21" a="1"/>
  <c r="J141" i="19" l="1"/>
  <c r="K140" i="19" s="1"/>
  <c r="I140" i="19" s="1"/>
  <c r="I182" i="19"/>
  <c r="K181" i="19"/>
  <c r="I170" i="19"/>
  <c r="H170" i="19"/>
  <c r="H171" i="19" s="1"/>
  <c r="H172" i="19" s="1"/>
  <c r="H173" i="19" s="1"/>
  <c r="H174" i="19" s="1"/>
  <c r="H175" i="19" s="1"/>
  <c r="H176" i="19" s="1"/>
  <c r="I128" i="19"/>
  <c r="K127" i="19"/>
  <c r="M97" i="21"/>
  <c r="S96" i="21"/>
  <c r="T96" i="21" s="1"/>
  <c r="V96" i="21" s="1"/>
  <c r="Q129" i="21"/>
  <c r="S129" i="21" s="1"/>
  <c r="T129" i="21" s="1"/>
  <c r="AD95" i="21"/>
  <c r="AE95" i="21"/>
  <c r="Q413" i="21"/>
  <c r="W413" i="21"/>
  <c r="L413" i="21" a="1"/>
  <c r="K139" i="19" l="1"/>
  <c r="I127" i="19"/>
  <c r="H127" i="19"/>
  <c r="H128" i="19" s="1"/>
  <c r="H129" i="19" s="1"/>
  <c r="H130" i="19" s="1"/>
  <c r="H131" i="19" s="1"/>
  <c r="H132" i="19" s="1"/>
  <c r="H133" i="19" s="1"/>
  <c r="H134" i="19" s="1"/>
  <c r="I181" i="19"/>
  <c r="K180" i="19"/>
  <c r="L413" i="21"/>
  <c r="R413" i="21"/>
  <c r="V129" i="21"/>
  <c r="AC129" i="21"/>
  <c r="AC96" i="21"/>
  <c r="AI96" i="21"/>
  <c r="X96" i="21"/>
  <c r="AH96" i="21" s="1"/>
  <c r="M413" i="21" a="1"/>
  <c r="I180" i="19" l="1"/>
  <c r="K179" i="19"/>
  <c r="I139" i="19"/>
  <c r="K138" i="19"/>
  <c r="M413" i="21"/>
  <c r="AD96" i="21"/>
  <c r="AD97" i="21" s="1"/>
  <c r="AE96" i="21"/>
  <c r="AI129" i="21"/>
  <c r="X129" i="21"/>
  <c r="S413" i="21"/>
  <c r="T413" i="21" s="1"/>
  <c r="V413" i="21" s="1"/>
  <c r="AD129" i="21"/>
  <c r="AE129" i="21"/>
  <c r="O414" i="21"/>
  <c r="P414" i="21"/>
  <c r="Q414" i="21"/>
  <c r="AF414" i="21"/>
  <c r="AN414" i="21"/>
  <c r="AA414" i="21" s="1"/>
  <c r="W414" i="21" s="1"/>
  <c r="L414" i="21" a="1"/>
  <c r="I138" i="19" l="1"/>
  <c r="K137" i="19"/>
  <c r="I179" i="19"/>
  <c r="K178" i="19"/>
  <c r="L414" i="21"/>
  <c r="R414" i="21"/>
  <c r="AE413" i="21"/>
  <c r="AC413" i="21" s="1"/>
  <c r="X413" i="21"/>
  <c r="AD413" i="21" s="1"/>
  <c r="AH129" i="21"/>
  <c r="W136" i="21"/>
  <c r="M414" i="21" a="1"/>
  <c r="I137" i="19" l="1"/>
  <c r="K136" i="19"/>
  <c r="I178" i="19"/>
  <c r="K177" i="19"/>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I136" i="19" l="1"/>
  <c r="K135" i="19"/>
  <c r="I177" i="19"/>
  <c r="H177" i="19"/>
  <c r="H178" i="19" s="1"/>
  <c r="H179" i="19" s="1"/>
  <c r="H180" i="19" s="1"/>
  <c r="H181" i="19" s="1"/>
  <c r="H182" i="19" s="1"/>
  <c r="H183" i="19" s="1"/>
  <c r="L415" i="21"/>
  <c r="R415" i="21"/>
  <c r="AC416" i="21"/>
  <c r="AC417" i="21" s="1"/>
  <c r="AC418" i="21" s="1"/>
  <c r="Z416" i="21"/>
  <c r="Z417" i="21" s="1"/>
  <c r="Z418" i="21" s="1"/>
  <c r="AE136" i="21"/>
  <c r="AD136" i="21"/>
  <c r="Q137" i="21"/>
  <c r="S136" i="21"/>
  <c r="T136" i="21" s="1"/>
  <c r="V136" i="21" s="1"/>
  <c r="AE414" i="21"/>
  <c r="AC414" i="21" s="1"/>
  <c r="X414" i="21"/>
  <c r="AD414" i="21" s="1"/>
  <c r="M415" i="21" a="1"/>
  <c r="I135" i="19" l="1"/>
  <c r="H135" i="19"/>
  <c r="H136" i="19" s="1"/>
  <c r="H137" i="19" s="1"/>
  <c r="H138" i="19" s="1"/>
  <c r="H139" i="19" s="1"/>
  <c r="H140" i="19" s="1"/>
  <c r="H141" i="19" s="1"/>
  <c r="M415" i="2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M429" i="21" a="1"/>
  <c r="L430"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L432" i="21" a="1"/>
  <c r="M431"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X182" i="21"/>
  <c r="AJ182" i="21" s="1"/>
  <c r="AE440" i="21"/>
  <c r="X440" i="21"/>
  <c r="AD440" i="21" s="1"/>
  <c r="AC182" i="2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P452" i="2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T455" i="21" s="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Q459" i="21"/>
  <c r="AF459" i="21"/>
  <c r="AN459" i="21"/>
  <c r="AA459" i="21" s="1"/>
  <c r="W459" i="21" s="1"/>
  <c r="L459" i="21" a="1"/>
  <c r="M327" i="21" a="1"/>
  <c r="L459" i="21" l="1"/>
  <c r="M327" i="21"/>
  <c r="R459" i="21"/>
  <c r="Q329" i="21"/>
  <c r="R329" i="21" s="1"/>
  <c r="S328" i="21"/>
  <c r="T328" i="21" s="1"/>
  <c r="V328" i="21" s="1"/>
  <c r="AK303" i="21"/>
  <c r="AC303" i="21" s="1"/>
  <c r="AC305" i="21" s="1"/>
  <c r="X303" i="21"/>
  <c r="AJ303" i="21" s="1"/>
  <c r="M459" i="21" a="1"/>
  <c r="M459" i="21" l="1"/>
  <c r="AK328" i="21"/>
  <c r="AC328" i="21" s="1"/>
  <c r="X328" i="21"/>
  <c r="AJ328" i="21" s="1"/>
  <c r="Q330" i="21"/>
  <c r="R330" i="21" s="1"/>
  <c r="S329" i="21"/>
  <c r="T329" i="21" s="1"/>
  <c r="V329" i="21" s="1"/>
  <c r="S459" i="21"/>
  <c r="T459" i="21" s="1"/>
  <c r="V459" i="21" s="1"/>
  <c r="O460" i="21"/>
  <c r="P460" i="21"/>
  <c r="Q460" i="21"/>
  <c r="AF460" i="21"/>
  <c r="AN460" i="21"/>
  <c r="AA460" i="21" s="1"/>
  <c r="W460" i="21" s="1"/>
  <c r="L460" i="21" a="1"/>
  <c r="L460" i="21" l="1"/>
  <c r="R460" i="21"/>
  <c r="AE459" i="21"/>
  <c r="X459" i="21"/>
  <c r="AD459" i="21" s="1"/>
  <c r="AK329" i="21"/>
  <c r="AC329" i="21" s="1"/>
  <c r="X329" i="21"/>
  <c r="AJ329" i="21" s="1"/>
  <c r="S330" i="21"/>
  <c r="T330" i="21" s="1"/>
  <c r="V330" i="21" s="1"/>
  <c r="Q331" i="21"/>
  <c r="S331" i="21" s="1"/>
  <c r="T331" i="21" s="1"/>
  <c r="V331" i="21" s="1"/>
  <c r="M460" i="21" a="1"/>
  <c r="M460" i="21" l="1"/>
  <c r="S460" i="21"/>
  <c r="T460" i="21" s="1"/>
  <c r="V460" i="21" s="1"/>
  <c r="AK330" i="21"/>
  <c r="AC330" i="21" s="1"/>
  <c r="X330" i="21"/>
  <c r="AJ330" i="21" s="1"/>
  <c r="AK331" i="21"/>
  <c r="X331" i="21"/>
  <c r="O461" i="21"/>
  <c r="P461" i="21"/>
  <c r="Q461" i="21"/>
  <c r="AF461" i="21"/>
  <c r="AN461" i="21"/>
  <c r="AA461" i="21" s="1"/>
  <c r="W461" i="21" s="1"/>
  <c r="L461" i="21" a="1"/>
  <c r="AC331" i="21" l="1"/>
  <c r="L461" i="21"/>
  <c r="R461" i="21"/>
  <c r="W332" i="21"/>
  <c r="AJ331" i="21"/>
  <c r="AE460" i="21"/>
  <c r="X460" i="21"/>
  <c r="AD460" i="21" s="1"/>
  <c r="M461" i="21" a="1"/>
  <c r="M461" i="21" l="1"/>
  <c r="R332" i="21"/>
  <c r="S461" i="21"/>
  <c r="T461" i="21" s="1"/>
  <c r="V461" i="21" s="1"/>
  <c r="O462" i="21"/>
  <c r="P462" i="21"/>
  <c r="Q462" i="21"/>
  <c r="AF462" i="21"/>
  <c r="AN462" i="21"/>
  <c r="AA462" i="21" s="1"/>
  <c r="W462" i="21" s="1"/>
  <c r="L462" i="21" a="1"/>
  <c r="L462" i="21" l="1"/>
  <c r="R462" i="21"/>
  <c r="AE461" i="21"/>
  <c r="X461" i="21"/>
  <c r="AD461" i="21" s="1"/>
  <c r="S332" i="21"/>
  <c r="T332" i="21" s="1"/>
  <c r="V332" i="21" s="1"/>
  <c r="X332" i="21" s="1"/>
  <c r="Q333" i="21"/>
  <c r="R333" i="21" s="1"/>
  <c r="M462" i="21" a="1"/>
  <c r="M462" i="21" l="1"/>
  <c r="Q334" i="21"/>
  <c r="R334" i="21" s="1"/>
  <c r="S333" i="21"/>
  <c r="T333" i="21" s="1"/>
  <c r="V333" i="21" s="1"/>
  <c r="S462" i="21"/>
  <c r="T462" i="21" s="1"/>
  <c r="V462" i="21" s="1"/>
  <c r="O463" i="21"/>
  <c r="P463" i="21"/>
  <c r="Q463" i="21"/>
  <c r="R463" i="21"/>
  <c r="AF463" i="21"/>
  <c r="AN463" i="21"/>
  <c r="AA463" i="21" s="1"/>
  <c r="W463" i="21" s="1"/>
  <c r="M463" i="21" a="1"/>
  <c r="L463" i="21" a="1"/>
  <c r="S463" i="21" l="1"/>
  <c r="T463" i="21" s="1"/>
  <c r="V463" i="21" s="1"/>
  <c r="AE463" i="21" s="1"/>
  <c r="L463" i="21"/>
  <c r="M463" i="21"/>
  <c r="AK333" i="21"/>
  <c r="AC333" i="21" s="1"/>
  <c r="X333" i="21"/>
  <c r="AJ333" i="21" s="1"/>
  <c r="AE462" i="21"/>
  <c r="X462" i="21"/>
  <c r="AD462" i="21" s="1"/>
  <c r="S334" i="21"/>
  <c r="T334" i="21" s="1"/>
  <c r="V334" i="21" s="1"/>
  <c r="Q335" i="21"/>
  <c r="S335" i="21" s="1"/>
  <c r="T335" i="21" s="1"/>
  <c r="V335" i="21" s="1"/>
  <c r="X463" i="21" l="1"/>
  <c r="AD463" i="21" s="1"/>
  <c r="AK334" i="21"/>
  <c r="AC334" i="21" s="1"/>
  <c r="X334" i="21"/>
  <c r="AJ334" i="21" s="1"/>
  <c r="AK335" i="21"/>
  <c r="X335" i="21"/>
  <c r="O464" i="21"/>
  <c r="P464" i="21"/>
  <c r="AD465" i="21"/>
  <c r="AE465" i="21"/>
  <c r="W346" i="21" l="1"/>
  <c r="AJ335" i="21"/>
  <c r="AC335" i="21"/>
  <c r="R346" i="21" l="1"/>
  <c r="AB346" i="21"/>
  <c r="O466" i="21"/>
  <c r="P466" i="21"/>
  <c r="Q466" i="21"/>
  <c r="T466" i="21"/>
  <c r="V466" i="21" s="1"/>
  <c r="AE466" i="21" s="1"/>
  <c r="W466" i="21"/>
  <c r="AB466" i="21" s="1"/>
  <c r="AF466" i="21"/>
  <c r="AN466" i="21"/>
  <c r="AA466" i="21" s="1"/>
  <c r="Z466" i="21" s="1"/>
  <c r="L466" i="21" a="1"/>
  <c r="Y466" i="21" l="1"/>
  <c r="W464"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L468" i="21" a="1"/>
  <c r="M468" i="21" a="1"/>
  <c r="S468" i="21" l="1"/>
  <c r="T468" i="21" s="1"/>
  <c r="V468" i="21" s="1"/>
  <c r="AE468" i="21" s="1"/>
  <c r="L468" i="21"/>
  <c r="M468" i="21"/>
  <c r="AJ361" i="21"/>
  <c r="W366" i="21"/>
  <c r="AE467" i="21"/>
  <c r="X467" i="21"/>
  <c r="AD467" i="21" s="1"/>
  <c r="X468" i="21" l="1"/>
  <c r="AD468" i="21" s="1"/>
  <c r="R366" i="21"/>
  <c r="Q469" i="21"/>
  <c r="W469" i="21"/>
  <c r="R469" i="21" s="1"/>
  <c r="L469" i="21" a="1"/>
  <c r="M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L470" i="21" a="1"/>
  <c r="M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M371" i="21" a="1"/>
  <c r="L472"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L473" i="21" a="1"/>
  <c r="M383" i="21" a="1"/>
  <c r="M383" i="21" l="1"/>
  <c r="L473" i="21"/>
  <c r="R473" i="21"/>
  <c r="S382" i="21"/>
  <c r="T382" i="21" s="1"/>
  <c r="V382" i="21" s="1"/>
  <c r="Q385" i="21"/>
  <c r="R385" i="21" s="1"/>
  <c r="AK381" i="21"/>
  <c r="AC381" i="21" s="1"/>
  <c r="X381" i="21"/>
  <c r="AJ381" i="21" s="1"/>
  <c r="M386" i="21" a="1"/>
  <c r="M473"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74" i="21" a="1"/>
  <c r="L420" i="21" a="1"/>
  <c r="L420" i="21" l="1"/>
  <c r="L474" i="21"/>
  <c r="R474" i="21"/>
  <c r="R420" i="21"/>
  <c r="AE473" i="21"/>
  <c r="X473" i="21"/>
  <c r="AD473" i="21" s="1"/>
  <c r="M474" i="21" a="1"/>
  <c r="M420" i="21" a="1"/>
  <c r="M420" i="21" l="1"/>
  <c r="M474" i="21"/>
  <c r="S420" i="21"/>
  <c r="T420" i="21" s="1"/>
  <c r="V420" i="21" s="1"/>
  <c r="Q421" i="21"/>
  <c r="S474" i="21"/>
  <c r="T474" i="21" s="1"/>
  <c r="V474" i="21" s="1"/>
  <c r="O475" i="21"/>
  <c r="P475" i="21"/>
  <c r="Q475" i="21"/>
  <c r="AF475" i="21"/>
  <c r="AN475" i="21"/>
  <c r="AA475" i="21" s="1"/>
  <c r="W475" i="21" s="1"/>
  <c r="L421" i="21" a="1"/>
  <c r="L475" i="21" a="1"/>
  <c r="R475" i="21" l="1"/>
  <c r="L421" i="21"/>
  <c r="L475" i="21"/>
  <c r="S475" i="21"/>
  <c r="T475" i="21" s="1"/>
  <c r="V475" i="21" s="1"/>
  <c r="AE475" i="21" s="1"/>
  <c r="R421" i="21"/>
  <c r="AE420" i="21"/>
  <c r="AC420" i="21" s="1"/>
  <c r="X420" i="21"/>
  <c r="AD420" i="21" s="1"/>
  <c r="AE474" i="21"/>
  <c r="X474" i="21"/>
  <c r="AD474" i="21" s="1"/>
  <c r="M475" i="21" a="1"/>
  <c r="M421" i="21" a="1"/>
  <c r="M475" i="21" l="1"/>
  <c r="M421" i="21"/>
  <c r="S421" i="21"/>
  <c r="T421" i="21" s="1"/>
  <c r="V421" i="21" s="1"/>
  <c r="Q422" i="21"/>
  <c r="X475" i="21"/>
  <c r="AD475" i="21" s="1"/>
  <c r="O476" i="21"/>
  <c r="P476" i="21"/>
  <c r="Q476" i="21"/>
  <c r="AF476" i="21"/>
  <c r="AN476" i="21"/>
  <c r="AA476" i="21" s="1"/>
  <c r="W476" i="21" s="1"/>
  <c r="L476" i="21" a="1"/>
  <c r="L422" i="21" a="1"/>
  <c r="L476" i="21" l="1"/>
  <c r="L422" i="21"/>
  <c r="R476" i="21"/>
  <c r="R422" i="21"/>
  <c r="AE421" i="21"/>
  <c r="AC421" i="21" s="1"/>
  <c r="X421" i="21"/>
  <c r="AD421" i="21" s="1"/>
  <c r="M422" i="21" a="1"/>
  <c r="M476" i="21" a="1"/>
  <c r="M476" i="21" l="1"/>
  <c r="M422" i="21"/>
  <c r="S476" i="21"/>
  <c r="T476" i="21" s="1"/>
  <c r="V476" i="21" s="1"/>
  <c r="S422" i="21"/>
  <c r="T422" i="21" s="1"/>
  <c r="V422" i="21" s="1"/>
  <c r="Q423" i="21"/>
  <c r="O477" i="21"/>
  <c r="P477" i="21"/>
  <c r="Q477" i="21"/>
  <c r="AF477" i="21"/>
  <c r="AN477" i="21"/>
  <c r="AA477" i="21" s="1"/>
  <c r="W477" i="21" s="1"/>
  <c r="L477" i="21" a="1"/>
  <c r="L423" i="21" a="1"/>
  <c r="L477" i="21" l="1"/>
  <c r="L423" i="21"/>
  <c r="R477" i="21"/>
  <c r="AE422" i="21"/>
  <c r="AC422" i="21" s="1"/>
  <c r="X422" i="21"/>
  <c r="AD422" i="21" s="1"/>
  <c r="AE476" i="21"/>
  <c r="X476" i="21"/>
  <c r="AD476" i="21" s="1"/>
  <c r="R423" i="21"/>
  <c r="M423" i="21" a="1"/>
  <c r="M477" i="21" a="1"/>
  <c r="M477" i="21" l="1"/>
  <c r="M423" i="21"/>
  <c r="S477" i="21"/>
  <c r="T477" i="21" s="1"/>
  <c r="V477" i="21" s="1"/>
  <c r="S423" i="21"/>
  <c r="T423" i="21" s="1"/>
  <c r="V423" i="21" s="1"/>
  <c r="Q424" i="21"/>
  <c r="O478" i="21"/>
  <c r="P478" i="21"/>
  <c r="Q478" i="21"/>
  <c r="AF478" i="21"/>
  <c r="AN478" i="21"/>
  <c r="AA478" i="21" s="1"/>
  <c r="W478" i="21" s="1"/>
  <c r="L478" i="21" a="1"/>
  <c r="L424" i="21" a="1"/>
  <c r="L478" i="21" l="1"/>
  <c r="L424" i="21"/>
  <c r="R478" i="21"/>
  <c r="AE423" i="21"/>
  <c r="AC423" i="21" s="1"/>
  <c r="X423" i="21"/>
  <c r="AD423" i="21" s="1"/>
  <c r="AE477" i="21"/>
  <c r="X477" i="21"/>
  <c r="AD477" i="21" s="1"/>
  <c r="R424" i="21"/>
  <c r="M478" i="21" a="1"/>
  <c r="M424"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25" i="21" a="1"/>
  <c r="L479" i="21" a="1"/>
  <c r="L479" i="21" l="1"/>
  <c r="L425" i="21"/>
  <c r="R479" i="21"/>
  <c r="Z482" i="21"/>
  <c r="W482" i="21"/>
  <c r="AE424" i="21"/>
  <c r="AC424" i="21" s="1"/>
  <c r="X424" i="21"/>
  <c r="AD424" i="21" s="1"/>
  <c r="AE478" i="21"/>
  <c r="X478" i="21"/>
  <c r="AD478" i="21" s="1"/>
  <c r="R425" i="21"/>
  <c r="M483" i="21" a="1"/>
  <c r="M425" i="21" a="1"/>
  <c r="M479" i="21" a="1"/>
  <c r="M425" i="21" l="1"/>
  <c r="M479" i="21"/>
  <c r="S425" i="21"/>
  <c r="T425" i="21" s="1"/>
  <c r="V425" i="21" s="1"/>
  <c r="Q433" i="2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33" i="21" a="1"/>
  <c r="L464" i="21" a="1"/>
  <c r="V488" i="21" l="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33" i="21" a="1"/>
  <c r="M464" i="21" a="1"/>
  <c r="W489" i="21" l="1"/>
  <c r="M464" i="21"/>
  <c r="M433" i="21"/>
  <c r="S464" i="21"/>
  <c r="T464" i="21" s="1"/>
  <c r="V464" i="21" s="1"/>
  <c r="X464" i="21" s="1"/>
  <c r="S433" i="21"/>
  <c r="T433" i="21" s="1"/>
  <c r="V433" i="21" s="1"/>
  <c r="Q434" i="21"/>
  <c r="AD480" i="21"/>
  <c r="W481" i="21"/>
  <c r="X481" i="21" s="1"/>
  <c r="R480" i="21"/>
  <c r="Q488" i="21"/>
  <c r="L434" i="21" a="1"/>
  <c r="W490" i="21" l="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M452" i="21" a="1"/>
  <c r="F3" i="17"/>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BA8" i="19" l="1"/>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T458" i="21" s="1"/>
  <c r="V458" i="21" s="1"/>
  <c r="Q483" i="21"/>
  <c r="L483" i="21" a="1"/>
  <c r="L483" i="21" l="1"/>
  <c r="AE458" i="21"/>
  <c r="AC458" i="21" s="1"/>
  <c r="X458" i="21"/>
  <c r="AD458" i="21" s="1"/>
  <c r="S483" i="21"/>
  <c r="T483" i="21" s="1"/>
  <c r="V483" i="21" s="1"/>
  <c r="AE483" i="21" l="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F2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9" authorId="0" shapeId="0" xr:uid="{DA9A2E0C-C31E-4025-A6F9-673D68737EF8}">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9" authorId="0" shapeId="0" xr:uid="{ABC78BE5-9F77-444B-83AB-0DE979365363}">
      <text>
        <r>
          <rPr>
            <b/>
            <sz val="9"/>
            <color indexed="81"/>
            <rFont val="Tahoma"/>
            <family val="2"/>
          </rPr>
          <t xml:space="preserve">0.55078125:byte/s_x000D_
4.40625:bit/s_x000D_
AJ158:Rate_Cell_x000D_
N9:caller_x000D_
</t>
        </r>
      </text>
    </comment>
    <comment ref="R9" authorId="0" shapeId="0" xr:uid="{ABD9B9AB-6433-420A-A446-825E0C868016}">
      <text>
        <r>
          <rPr>
            <b/>
            <sz val="9"/>
            <color indexed="81"/>
            <rFont val="Tahoma"/>
            <family val="2"/>
          </rPr>
          <t xml:space="preserve">0.55078125:byte/s_x000D_
4.40625:bit/s_x000D_
AJ158:Rate_Cell_x000D_
R9:caller_x000D_
</t>
        </r>
      </text>
    </comment>
    <comment ref="T9" authorId="0" shapeId="0" xr:uid="{DE985694-2303-4BA8-9C89-118968749967}">
      <text>
        <r>
          <rPr>
            <b/>
            <sz val="9"/>
            <color indexed="81"/>
            <rFont val="Tahoma"/>
            <family val="2"/>
          </rPr>
          <t xml:space="preserve">0.55078125:byte/s_x000D_
4.40625:bit/s_x000D_
AJ158:Rate_Cell_x000D_
T9:caller_x000D_
</t>
        </r>
      </text>
    </comment>
    <comment ref="A10" authorId="0" shapeId="0" xr:uid="{CC5A754B-0AFF-42BD-B924-26992CB237A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10" authorId="0" shapeId="0" xr:uid="{6A8D630A-8217-485C-BB6C-78CA83366E87}">
      <text>
        <r>
          <rPr>
            <b/>
            <sz val="9"/>
            <color indexed="81"/>
            <rFont val="Tahoma"/>
            <family val="2"/>
          </rPr>
          <t xml:space="preserve">0.55078125:byte/s_x000D_
4.40625:bit/s_x000D_
AJ158:Rate_Cell_x000D_
N10:caller_x000D_
</t>
        </r>
      </text>
    </comment>
    <comment ref="R10" authorId="0" shapeId="0" xr:uid="{48F4E79D-23A1-4525-A9E9-663364A20E77}">
      <text>
        <r>
          <rPr>
            <b/>
            <sz val="9"/>
            <color indexed="81"/>
            <rFont val="Tahoma"/>
            <family val="2"/>
          </rPr>
          <t xml:space="preserve">0.55078125:byte/s_x000D_
4.40625:bit/s_x000D_
AJ158:Rate_Cell_x000D_
R10:caller_x000D_
</t>
        </r>
      </text>
    </comment>
    <comment ref="T10" authorId="0" shapeId="0" xr:uid="{A4D1F7C6-8716-47FA-8049-756DF0156853}">
      <text>
        <r>
          <rPr>
            <b/>
            <sz val="9"/>
            <color indexed="81"/>
            <rFont val="Tahoma"/>
            <family val="2"/>
          </rPr>
          <t xml:space="preserve">0.55078125:byte/s_x000D_
4.40625:bit/s_x000D_
AJ158:Rate_Cell_x000D_
T10:caller_x000D_
</t>
        </r>
      </text>
    </comment>
    <comment ref="A11" authorId="0" shapeId="0" xr:uid="{7A53E90F-BABA-4173-95E6-0C78AC36B81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11" authorId="0" shapeId="0" xr:uid="{A4C617B8-4DC6-4FDF-AD34-AE17EEBA2B4D}">
      <text>
        <r>
          <rPr>
            <b/>
            <sz val="9"/>
            <color indexed="81"/>
            <rFont val="Tahoma"/>
            <family val="2"/>
          </rPr>
          <t xml:space="preserve">0.55078125:byte/s_x000D_
4.40625:bit/s_x000D_
AJ158:Rate_Cell_x000D_
N11:caller_x000D_
</t>
        </r>
      </text>
    </comment>
    <comment ref="R11" authorId="0" shapeId="0" xr:uid="{24C60AB3-FFA7-453A-BE78-17554FD8CBFB}">
      <text>
        <r>
          <rPr>
            <b/>
            <sz val="9"/>
            <color indexed="81"/>
            <rFont val="Tahoma"/>
            <family val="2"/>
          </rPr>
          <t xml:space="preserve">0.55078125:byte/s_x000D_
4.40625:bit/s_x000D_
AJ158:Rate_Cell_x000D_
R11:caller_x000D_
</t>
        </r>
      </text>
    </comment>
    <comment ref="T11" authorId="0" shapeId="0" xr:uid="{608091AB-8229-4BA4-8809-783EF972A708}">
      <text>
        <r>
          <rPr>
            <b/>
            <sz val="9"/>
            <color indexed="81"/>
            <rFont val="Tahoma"/>
            <family val="2"/>
          </rPr>
          <t xml:space="preserve">0.55078125:byte/s_x000D_
4.40625:bit/s_x000D_
AJ158:Rate_Cell_x000D_
T11:caller_x000D_
</t>
        </r>
      </text>
    </comment>
    <comment ref="A12" authorId="0" shapeId="0" xr:uid="{75E668CB-F47E-4CE9-BD78-09FCD7ABE64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12" authorId="0" shapeId="0" xr:uid="{A1336326-532C-405B-B566-DA8A2B2A638E}">
      <text>
        <r>
          <rPr>
            <b/>
            <sz val="9"/>
            <color indexed="81"/>
            <rFont val="Tahoma"/>
            <family val="2"/>
          </rPr>
          <t xml:space="preserve">0.55078125:byte/s_x000D_
4.40625:bit/s_x000D_
AJ158:Rate_Cell_x000D_
N12:caller_x000D_
</t>
        </r>
      </text>
    </comment>
    <comment ref="R12" authorId="0" shapeId="0" xr:uid="{430065A5-622F-403D-AF7C-A2AE83236044}">
      <text>
        <r>
          <rPr>
            <b/>
            <sz val="9"/>
            <color indexed="81"/>
            <rFont val="Tahoma"/>
            <family val="2"/>
          </rPr>
          <t xml:space="preserve">0.55078125:byte/s_x000D_
4.40625:bit/s_x000D_
AJ158:Rate_Cell_x000D_
R12:caller_x000D_
</t>
        </r>
      </text>
    </comment>
    <comment ref="T12" authorId="0" shapeId="0" xr:uid="{A42F564D-7E6A-4390-A9E1-506D7D5C55A4}">
      <text>
        <r>
          <rPr>
            <b/>
            <sz val="9"/>
            <color indexed="81"/>
            <rFont val="Tahoma"/>
            <family val="2"/>
          </rPr>
          <t xml:space="preserve">0.55078125:byte/s_x000D_
4.40625:bit/s_x000D_
AJ158:Rate_Cell_x000D_
T12:caller_x000D_
</t>
        </r>
      </text>
    </comment>
    <comment ref="A13" authorId="0" shapeId="0" xr:uid="{248960C2-BFAA-4DF2-B5B6-C2B8D6EA236F}">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13" authorId="0" shapeId="0" xr:uid="{22C4C122-9F9F-4AA3-AACD-E977A8E769ED}">
      <text>
        <r>
          <rPr>
            <b/>
            <sz val="9"/>
            <color indexed="81"/>
            <rFont val="Tahoma"/>
            <family val="2"/>
          </rPr>
          <t xml:space="preserve">0.55078125:byte/s_x000D_
4.40625:bit/s_x000D_
AJ158:Rate_Cell_x000D_
N13:caller_x000D_
</t>
        </r>
      </text>
    </comment>
    <comment ref="T13" authorId="0" shapeId="0" xr:uid="{FA3D8372-D9F4-4391-AA87-2DD6ADD67C93}">
      <text>
        <r>
          <rPr>
            <b/>
            <sz val="9"/>
            <color indexed="81"/>
            <rFont val="Tahoma"/>
            <family val="2"/>
          </rPr>
          <t xml:space="preserve">0.55078125:byte/s_x000D_
4.40625:bit/s_x000D_
AJ158:Rate_Cell_x000D_
T13:caller_x000D_
</t>
        </r>
      </text>
    </comment>
    <comment ref="A14" authorId="0" shapeId="0" xr:uid="{01C53A13-9D38-4BD9-81E3-BB4210EFBD05}">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14" authorId="0" shapeId="0" xr:uid="{9CADC7DE-B9A1-4A23-8C45-6B9B363FC77A}">
      <text>
        <r>
          <rPr>
            <b/>
            <sz val="9"/>
            <color indexed="81"/>
            <rFont val="Tahoma"/>
            <family val="2"/>
          </rPr>
          <t xml:space="preserve">5.05015625:byte/s_x000D_
40.40125:bit/s_x000D_
AD158:Rate_Cell_x000D_
N14:caller_x000D_
</t>
        </r>
      </text>
    </comment>
    <comment ref="R14" authorId="0" shapeId="0" xr:uid="{A7180593-D4B7-4CE5-B264-73F90D5B31EB}">
      <text>
        <r>
          <rPr>
            <b/>
            <sz val="9"/>
            <color indexed="81"/>
            <rFont val="Tahoma"/>
            <family val="2"/>
          </rPr>
          <t xml:space="preserve">5.05015625:byte/s_x000D_
40.40125:bit/s_x000D_
AD158:Rate_Cell_x000D_
R14:caller_x000D_
</t>
        </r>
      </text>
    </comment>
    <comment ref="T14" authorId="0" shapeId="0" xr:uid="{CF2F0724-E3AD-4D3C-8B04-35FC26E330FC}">
      <text>
        <r>
          <rPr>
            <b/>
            <sz val="9"/>
            <color indexed="81"/>
            <rFont val="Tahoma"/>
            <family val="2"/>
          </rPr>
          <t xml:space="preserve">5.05015625:byte/s_x000D_
40.40125:bit/s_x000D_
AD158:Rate_Cell_x000D_
T14:caller_x000D_
</t>
        </r>
      </text>
    </comment>
    <comment ref="T18" authorId="0" shapeId="0" xr:uid="{0BD80AD0-8740-4384-99D0-E02C332B77D4}">
      <text>
        <r>
          <rPr>
            <b/>
            <sz val="9"/>
            <color indexed="81"/>
            <rFont val="Tahoma"/>
            <family val="2"/>
          </rPr>
          <t xml:space="preserve">6.90402777777778:byte/s_x000D_
55.2322222222222:bit/s_x000D_
BG158:Rate_Cell_x000D_
T18:caller_x000D_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<sst xmlns="http://schemas.openxmlformats.org/spreadsheetml/2006/main" count="9575" uniqueCount="5809">
  <si>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</si>
  <si>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</si>
  <si>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</si>
  <si>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</si>
  <si>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</si>
  <si>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</si>
  <si>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</si>
  <si>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</si>
  <si>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</si>
  <si>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</si>
  <si>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</si>
  <si>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</si>
  <si>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</si>
  <si>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</si>
  <si>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</si>
  <si>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</si>
  <si>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</si>
  <si>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</si>
  <si>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</si>
  <si>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</si>
  <si>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</si>
  <si>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</si>
  <si>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</si>
  <si>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</si>
  <si>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</si>
  <si>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</si>
  <si>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</si>
  <si>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</si>
  <si>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</si>
  <si>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</si>
  <si>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</si>
  <si>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</si>
  <si>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</si>
  <si>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</si>
  <si>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</si>
  <si>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</si>
  <si>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</si>
  <si>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</si>
  <si>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</si>
  <si>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</si>
  <si>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</si>
  <si>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</si>
  <si>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</si>
  <si>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</si>
  <si>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</si>
  <si>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</si>
  <si>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</si>
  <si>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</si>
  <si>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</si>
  <si>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</si>
  <si>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</si>
  <si>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</si>
  <si>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</si>
  <si>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</si>
  <si>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</si>
  <si>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</si>
  <si>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</si>
  <si>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</si>
  <si>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</si>
  <si>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</si>
  <si>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</si>
  <si>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</si>
  <si>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</si>
  <si>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</si>
  <si>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</si>
  <si>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</si>
  <si>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</si>
  <si>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</si>
  <si>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</si>
  <si>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</si>
  <si>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</si>
  <si>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</si>
  <si>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</si>
  <si>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</si>
  <si>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</si>
  <si>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</si>
  <si>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</si>
  <si>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</si>
  <si>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</si>
  <si>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</si>
  <si>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</si>
  <si>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</si>
  <si>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</si>
  <si>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</si>
  <si>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</si>
  <si>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</si>
  <si>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</si>
  <si>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</si>
  <si>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</si>
  <si>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</si>
  <si>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</si>
  <si>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</si>
  <si>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</si>
  <si>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</si>
  <si>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</si>
  <si>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</si>
  <si>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</si>
  <si>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</si>
  <si>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</si>
  <si>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</si>
  <si>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</si>
  <si>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</si>
  <si>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</si>
  <si>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</si>
  <si>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</si>
  <si>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</si>
  <si>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</si>
  <si>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</si>
  <si>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</si>
  <si>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</si>
  <si>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</si>
  <si>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</si>
  <si>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</si>
  <si>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</si>
  <si>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</si>
  <si>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</si>
  <si>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</si>
  <si>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</si>
  <si>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</si>
  <si>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</si>
  <si>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</si>
  <si>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</si>
  <si>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</si>
  <si>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</si>
  <si>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</si>
  <si>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</si>
  <si>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</si>
  <si>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</si>
  <si>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</si>
  <si>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</si>
  <si>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</si>
  <si>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</si>
  <si>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</si>
  <si>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</si>
  <si>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</si>
  <si>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</si>
  <si>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</si>
  <si>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</si>
  <si>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</si>
  <si>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</si>
  <si>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</si>
  <si>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</si>
  <si>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</si>
  <si>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</si>
  <si>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</si>
  <si>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</si>
  <si>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</si>
  <si>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</si>
  <si>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</si>
  <si>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</si>
  <si>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</si>
  <si>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</si>
  <si>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</si>
  <si>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</si>
  <si>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</si>
  <si>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</si>
  <si>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</si>
  <si>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</si>
  <si>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</si>
  <si>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</si>
  <si>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</si>
  <si>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</si>
  <si>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</si>
  <si>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</si>
  <si>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</si>
  <si>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</si>
  <si>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</si>
  <si>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</si>
  <si>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</si>
  <si>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</si>
  <si>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</si>
  <si>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</si>
  <si>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</si>
  <si>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</si>
  <si>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</si>
  <si>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</si>
  <si>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</si>
  <si>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</si>
  <si>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</si>
  <si>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</si>
  <si>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</si>
  <si>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</si>
  <si>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</si>
  <si>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</si>
  <si>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</si>
  <si>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</si>
  <si>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</si>
  <si>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</si>
  <si>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</si>
  <si>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</si>
  <si>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</si>
  <si>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</si>
  <si>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</si>
  <si>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</si>
  <si>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</si>
  <si>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</si>
  <si>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</si>
  <si>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</si>
  <si>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</si>
  <si>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</si>
  <si>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</si>
  <si>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</si>
  <si>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</si>
  <si>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</si>
  <si>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</si>
  <si>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</si>
  <si>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</si>
  <si>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</si>
  <si>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</si>
  <si>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</si>
  <si>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</si>
  <si>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</si>
  <si>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</si>
  <si>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</si>
  <si>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</si>
  <si>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</si>
  <si>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</si>
  <si>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</si>
  <si>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</si>
  <si>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</si>
  <si>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</si>
  <si>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</si>
  <si>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</si>
  <si>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</si>
  <si>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</si>
  <si>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</si>
  <si>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</si>
  <si>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</si>
  <si>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</si>
  <si>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</si>
  <si>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</si>
  <si>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</si>
  <si>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</si>
  <si>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</si>
  <si>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</si>
  <si>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</si>
  <si>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</si>
  <si>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</si>
  <si>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</si>
  <si>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</si>
  <si>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</si>
  <si>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</si>
  <si>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</si>
  <si>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</si>
  <si>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</si>
  <si>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</si>
  <si>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</si>
  <si>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</si>
  <si>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</si>
  <si>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</si>
  <si>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</si>
  <si>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</si>
  <si>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</si>
  <si>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</si>
  <si>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</si>
  <si>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</si>
  <si>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</si>
  <si>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</si>
  <si>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</si>
  <si>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</si>
  <si>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</si>
  <si>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</si>
  <si>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</si>
  <si>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</si>
  <si>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</si>
  <si>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</si>
  <si>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</si>
  <si>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</si>
  <si>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</si>
  <si>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</si>
  <si>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</si>
  <si>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</si>
  <si>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</si>
  <si>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</si>
  <si>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</si>
  <si>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</si>
  <si>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</si>
  <si>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</si>
  <si>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</si>
  <si>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</si>
  <si>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</si>
  <si>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</si>
  <si>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</si>
  <si>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</si>
  <si>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</si>
  <si>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</si>
  <si>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</si>
  <si>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</si>
  <si>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</si>
  <si>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</si>
  <si>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</si>
  <si>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</si>
  <si>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</si>
  <si>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</si>
  <si>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</si>
  <si>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</si>
  <si>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</si>
  <si>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</si>
  <si>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</si>
  <si>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</si>
  <si>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</si>
  <si>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</si>
  <si>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</si>
  <si>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</si>
  <si>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</si>
  <si>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</si>
  <si>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</si>
  <si>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</si>
  <si>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</si>
  <si>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</si>
  <si>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</si>
  <si>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</si>
  <si>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</si>
  <si>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</si>
  <si>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</si>
  <si>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</si>
  <si>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</si>
  <si>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</si>
  <si>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</si>
  <si>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</si>
  <si>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</si>
  <si>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</si>
  <si>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</si>
  <si>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</si>
  <si>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</si>
  <si>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</si>
  <si>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</si>
  <si>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</si>
  <si>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</si>
  <si>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</si>
  <si>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</si>
  <si>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</si>
  <si>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</si>
  <si>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</si>
  <si>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</si>
  <si>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</si>
  <si>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</si>
  <si>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</si>
  <si>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</si>
  <si>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</si>
  <si>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</si>
  <si>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</si>
  <si>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</si>
  <si>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</si>
  <si>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</si>
  <si>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</si>
  <si>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</si>
  <si>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</si>
  <si>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</si>
  <si>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</si>
  <si>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</si>
  <si>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</si>
  <si>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</si>
  <si>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</si>
  <si>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</si>
  <si>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</si>
  <si>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</si>
  <si>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</si>
  <si>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</si>
  <si>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</si>
  <si>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</si>
  <si>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</si>
  <si>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</si>
  <si>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</si>
  <si>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</si>
  <si>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</si>
  <si>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</si>
  <si>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</si>
  <si>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</si>
  <si>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</si>
  <si>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</si>
  <si>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</si>
  <si>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</si>
  <si>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</si>
  <si>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</si>
  <si>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</si>
  <si>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</si>
  <si>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</si>
  <si>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</si>
  <si>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</si>
  <si>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</si>
  <si>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</si>
  <si>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</si>
  <si>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</si>
  <si>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</si>
  <si>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</si>
  <si>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</si>
  <si>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</si>
  <si>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</si>
  <si>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</si>
  <si>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</si>
  <si>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</si>
  <si>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</si>
  <si>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</si>
  <si>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</si>
  <si>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</si>
  <si>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</si>
  <si>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</si>
  <si>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</si>
  <si>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</si>
  <si>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</si>
  <si>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</si>
  <si>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</si>
  <si>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</si>
  <si>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</si>
  <si>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</si>
  <si>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</si>
  <si>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</si>
  <si>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</si>
  <si>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</si>
  <si>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</si>
  <si>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</si>
  <si>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</si>
  <si>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</si>
  <si>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</si>
  <si>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</si>
  <si>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</si>
  <si>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</si>
  <si>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</si>
  <si>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</si>
  <si>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</si>
  <si>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</si>
  <si>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</si>
  <si>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</si>
  <si>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</si>
  <si>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</si>
  <si>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</si>
  <si>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</si>
  <si>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</si>
  <si>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</si>
  <si>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</si>
  <si>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</si>
  <si>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</si>
  <si>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</si>
  <si>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</si>
  <si>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</si>
  <si>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</si>
  <si>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</si>
  <si>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</si>
  <si>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</si>
  <si>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</si>
  <si>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</si>
  <si>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</si>
  <si>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</si>
  <si>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</si>
  <si>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</si>
  <si>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</si>
  <si>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</si>
  <si>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</si>
  <si>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</si>
  <si>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</si>
  <si>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</si>
  <si>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</si>
  <si>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</si>
  <si>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</si>
  <si>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</si>
  <si>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</si>
  <si>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</si>
  <si>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</si>
  <si>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</si>
  <si>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</si>
  <si>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</si>
  <si>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</si>
  <si>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</si>
  <si>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</si>
  <si>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</si>
  <si>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</si>
  <si>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</si>
  <si>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</si>
  <si>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</si>
  <si>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</si>
  <si>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</si>
  <si>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</si>
  <si>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</si>
  <si>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</si>
  <si>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</si>
  <si>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</si>
  <si>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</si>
  <si>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</si>
  <si>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</si>
  <si>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</si>
  <si>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</si>
  <si>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</si>
  <si>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</si>
  <si>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</si>
  <si>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</si>
  <si>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</si>
  <si>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</si>
  <si>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</si>
  <si>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</si>
  <si>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</si>
  <si>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</si>
  <si>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</si>
  <si>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</si>
  <si>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</si>
  <si>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</si>
  <si>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</si>
  <si>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</si>
  <si>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</si>
  <si>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</si>
  <si>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</si>
  <si>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</si>
  <si>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</si>
  <si>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</si>
  <si>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</si>
  <si>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</si>
  <si>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</si>
  <si>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</si>
  <si>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</si>
  <si>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</si>
  <si>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</si>
  <si>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</si>
  <si>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</si>
  <si>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</si>
  <si>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</si>
  <si>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</si>
  <si>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</si>
  <si>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</si>
  <si>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</si>
  <si>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</si>
  <si>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</si>
  <si>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</si>
  <si>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</si>
  <si>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</si>
  <si>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</si>
  <si>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</si>
  <si>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</si>
  <si>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</si>
  <si>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</si>
  <si>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</si>
  <si>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</si>
  <si>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</si>
  <si>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</si>
  <si>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</si>
  <si>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</si>
  <si>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</si>
  <si>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</si>
  <si>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</si>
  <si>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</si>
  <si>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</si>
  <si>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</si>
  <si>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</si>
  <si>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</si>
  <si>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</si>
  <si>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</si>
  <si>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</si>
  <si>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</si>
  <si>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</si>
  <si>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</si>
  <si>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</si>
  <si>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</si>
  <si>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</si>
  <si>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</si>
  <si>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</si>
  <si>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</si>
  <si>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</si>
  <si>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</si>
  <si>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</si>
  <si>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</si>
  <si>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</si>
  <si>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</si>
  <si>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</si>
  <si>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</si>
  <si>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</si>
  <si>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</si>
  <si>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</si>
  <si>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</si>
  <si>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</si>
  <si>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</si>
  <si>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</si>
  <si>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</si>
  <si>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</si>
  <si>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</si>
  <si>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</si>
  <si>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</si>
  <si>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</si>
  <si>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</si>
  <si>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</si>
  <si>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</si>
  <si>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</si>
  <si>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</si>
  <si>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</si>
  <si>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</si>
  <si>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</si>
  <si>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</si>
  <si>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</si>
  <si>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</si>
  <si>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</si>
  <si>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</si>
  <si>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</si>
  <si>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</si>
  <si>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</si>
  <si>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</si>
  <si>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</si>
  <si>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</si>
  <si>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</si>
  <si>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</si>
  <si>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</si>
  <si>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</si>
  <si>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</si>
  <si>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</si>
  <si>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</si>
  <si>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</si>
  <si>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</si>
  <si>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</si>
  <si>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</si>
  <si>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</si>
  <si>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</si>
  <si>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</si>
  <si>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</si>
  <si>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</si>
  <si>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</si>
  <si>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</si>
  <si>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</si>
  <si>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</si>
  <si>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</si>
  <si>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</si>
  <si>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</si>
  <si>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</si>
  <si>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</si>
  <si>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</si>
  <si>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</si>
  <si>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</si>
  <si>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</si>
  <si>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</si>
  <si>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</si>
  <si>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</si>
  <si>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</si>
  <si>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</si>
  <si>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</si>
  <si>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</si>
  <si>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</si>
  <si>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</si>
  <si>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</si>
  <si>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</si>
  <si>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</si>
  <si>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</si>
  <si>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</si>
  <si>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</si>
  <si>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</si>
  <si>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</si>
  <si>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</si>
  <si>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</si>
  <si>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</si>
  <si>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</si>
  <si>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</si>
  <si>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</si>
  <si>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</si>
  <si>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</si>
  <si>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</si>
  <si>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</si>
  <si>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</si>
  <si>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</si>
  <si>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</si>
  <si>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</si>
  <si>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</si>
  <si>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</si>
  <si>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</si>
  <si>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</si>
  <si>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</si>
  <si>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</si>
  <si>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</si>
  <si>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</si>
  <si>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</si>
  <si>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</si>
  <si>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</si>
  <si>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</si>
  <si>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</si>
  <si>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</si>
  <si>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</si>
  <si>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</si>
  <si>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</si>
  <si>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</si>
  <si>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</si>
  <si>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</si>
  <si>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</si>
  <si>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</si>
  <si>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</si>
  <si>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</si>
  <si>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</si>
  <si>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</si>
  <si>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</si>
  <si>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</si>
  <si>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</si>
  <si>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</si>
  <si>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</si>
  <si>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</si>
  <si>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</si>
  <si>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</si>
  <si>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</si>
  <si>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</si>
  <si>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</si>
  <si>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</si>
  <si>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</si>
  <si>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</si>
  <si>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</si>
  <si>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</si>
  <si>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</si>
  <si>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</si>
  <si>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</si>
  <si>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</si>
  <si>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</si>
  <si>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</si>
  <si>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</si>
  <si>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</si>
  <si>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</si>
  <si>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</si>
  <si>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</si>
  <si>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</si>
  <si>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</si>
  <si>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</si>
  <si>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</si>
  <si>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</si>
  <si>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</si>
  <si>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</si>
  <si>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</si>
  <si>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</si>
  <si>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</si>
  <si>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</si>
  <si>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</si>
  <si>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</si>
  <si>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</si>
  <si>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</si>
  <si>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</si>
  <si>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</si>
  <si>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</si>
  <si>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</si>
  <si>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</si>
  <si>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</si>
  <si>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</si>
  <si>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</si>
  <si>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</si>
  <si>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</si>
  <si>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</si>
  <si>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</si>
  <si>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</si>
  <si>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</si>
  <si>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</si>
  <si>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</si>
  <si>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</si>
  <si>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</si>
  <si>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</si>
  <si>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</si>
  <si>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</si>
  <si>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</si>
  <si>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</si>
  <si>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</si>
  <si>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</si>
  <si>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</si>
  <si>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</si>
  <si>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</si>
  <si>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</si>
  <si>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</si>
  <si>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</si>
  <si>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</si>
  <si>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</si>
  <si>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</si>
  <si>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</si>
  <si>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</si>
  <si>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</si>
  <si>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</si>
  <si>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</si>
  <si>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</si>
  <si>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</si>
  <si>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</si>
  <si>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</si>
  <si>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</si>
  <si>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</si>
  <si>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</si>
  <si>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</si>
  <si>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</si>
  <si>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</si>
  <si>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</si>
  <si>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</si>
  <si>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</si>
  <si>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</si>
  <si>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</si>
  <si>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</si>
  <si>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</si>
  <si>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</si>
  <si>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</si>
  <si>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</si>
  <si>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</si>
  <si>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</si>
  <si>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</si>
  <si>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</si>
  <si>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</si>
  <si>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</si>
  <si>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</si>
  <si>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</si>
  <si>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</si>
  <si>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</si>
  <si>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</si>
  <si>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</si>
  <si>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</si>
  <si>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</si>
  <si>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</si>
  <si>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</si>
  <si>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</si>
  <si>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</si>
  <si>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</si>
  <si>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</si>
  <si>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</si>
  <si>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</si>
  <si>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</si>
  <si>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</si>
  <si>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</si>
  <si>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</si>
  <si>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</si>
  <si>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</si>
  <si>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</si>
  <si>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</si>
  <si>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</si>
  <si>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</si>
  <si>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</si>
  <si>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</si>
  <si>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</si>
  <si>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</si>
  <si>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</si>
  <si>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</si>
  <si>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</si>
  <si>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</si>
  <si>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</si>
  <si>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</si>
  <si>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</si>
  <si>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</si>
  <si>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</si>
  <si>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</si>
  <si>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</si>
  <si>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</si>
  <si>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</si>
  <si>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</si>
  <si>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</si>
  <si>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</si>
  <si>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</si>
  <si>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</si>
  <si>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</si>
  <si>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</si>
  <si>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</si>
  <si>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</si>
  <si>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</si>
  <si>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</si>
  <si>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</si>
  <si>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</si>
  <si>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</si>
  <si>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</si>
  <si>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</si>
  <si>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</si>
  <si>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</si>
  <si>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</si>
  <si>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</si>
  <si>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</si>
  <si>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</si>
  <si>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</si>
  <si>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</si>
  <si>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</si>
  <si>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</si>
  <si>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</si>
  <si>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</si>
  <si>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</si>
  <si>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</si>
  <si>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</si>
  <si>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</si>
  <si>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</si>
  <si>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</si>
  <si>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</si>
  <si>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</si>
  <si>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</si>
  <si>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</si>
  <si>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</si>
  <si>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</si>
  <si>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</si>
  <si>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</si>
  <si>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</si>
  <si>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</si>
  <si>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</si>
  <si>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</si>
  <si>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</si>
  <si>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</si>
  <si>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</si>
  <si>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</si>
  <si>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</si>
  <si>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</si>
  <si>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</si>
  <si>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</si>
  <si>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</si>
  <si>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</si>
  <si>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</si>
  <si>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</si>
  <si>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</si>
  <si>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</si>
  <si>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</si>
  <si>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</si>
  <si>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</si>
  <si>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</si>
  <si>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</si>
  <si>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</si>
  <si>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</si>
  <si>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</si>
  <si>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</si>
  <si>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</si>
  <si>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</si>
  <si>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</si>
  <si>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</si>
  <si>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</si>
  <si>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</si>
  <si>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</si>
  <si>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</si>
  <si>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</si>
  <si>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</si>
  <si>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</si>
  <si>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</si>
  <si>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</si>
  <si>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</si>
  <si>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</si>
  <si>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</si>
  <si>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</si>
  <si>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</si>
  <si>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</si>
  <si>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</si>
  <si>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</si>
  <si>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</si>
  <si>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</si>
  <si>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</si>
  <si>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</si>
  <si>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</si>
  <si>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</si>
  <si>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</si>
  <si>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</si>
  <si>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</si>
  <si>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</si>
  <si>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</si>
  <si>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</si>
  <si>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</si>
  <si>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</si>
  <si>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</si>
  <si>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</si>
  <si>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</si>
  <si>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</si>
  <si>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</si>
  <si>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</si>
  <si>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</si>
  <si>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</si>
  <si>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</si>
  <si>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</si>
  <si>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</si>
  <si>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</si>
  <si>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</si>
  <si>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</si>
  <si>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</si>
  <si>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</si>
  <si>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</si>
  <si>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</si>
  <si>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</si>
  <si>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</si>
  <si>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</si>
  <si>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</si>
  <si>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</si>
  <si>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</si>
  <si>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</si>
  <si>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</si>
  <si>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</si>
  <si>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</si>
  <si>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</si>
  <si>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</si>
  <si>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</si>
  <si>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</si>
  <si>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</si>
  <si>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</si>
  <si>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</si>
  <si>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</si>
  <si>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</si>
  <si>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</si>
  <si>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</si>
  <si>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</si>
  <si>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</si>
  <si>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</si>
  <si>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</si>
  <si>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</si>
  <si>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</si>
  <si>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</si>
  <si>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</si>
  <si>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</si>
  <si>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</si>
  <si>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</si>
  <si>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</si>
  <si>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</si>
  <si>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</si>
  <si>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</si>
  <si>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</si>
  <si>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</si>
  <si>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</si>
  <si>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</si>
  <si>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</si>
  <si>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</si>
  <si>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</si>
  <si>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</si>
  <si>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</si>
  <si>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</si>
  <si>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</si>
  <si>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</si>
  <si>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</si>
  <si>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</si>
  <si>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</si>
  <si>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</si>
  <si>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</si>
  <si>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</si>
  <si>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</si>
  <si>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</si>
  <si>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</si>
  <si>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</si>
  <si>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</si>
  <si>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</si>
  <si>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</si>
  <si>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</si>
  <si>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</si>
  <si>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</si>
  <si>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</si>
  <si>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</si>
  <si>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</si>
  <si>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</si>
  <si>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</si>
  <si>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</si>
  <si>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</si>
  <si>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</si>
  <si>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</si>
  <si>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</si>
  <si>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</si>
  <si>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</si>
  <si>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</si>
  <si>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</si>
  <si>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</si>
  <si>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</si>
  <si>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</si>
  <si>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</si>
  <si>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</si>
  <si>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</si>
  <si>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</si>
  <si>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</si>
  <si>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</si>
  <si>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</si>
  <si>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</si>
  <si>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</si>
  <si>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</si>
  <si>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</si>
  <si>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</si>
  <si>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</si>
  <si>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</si>
  <si>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</si>
  <si>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</si>
  <si>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</si>
  <si>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</si>
  <si>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</si>
  <si>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</si>
  <si>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</si>
  <si>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</si>
  <si>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</si>
  <si>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</si>
  <si>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</si>
  <si>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</si>
  <si>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</si>
  <si>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</si>
  <si>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</si>
  <si>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</si>
  <si>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</si>
  <si>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</si>
  <si>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</si>
  <si>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</si>
  <si>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</si>
  <si>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</si>
  <si>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</si>
  <si>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</si>
  <si>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</si>
  <si>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</si>
  <si>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</si>
  <si>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</si>
  <si>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</si>
  <si>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</si>
  <si>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</si>
  <si>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</si>
  <si>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</si>
  <si>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</si>
  <si>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</si>
  <si>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</si>
  <si>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</si>
  <si>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</si>
  <si>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</si>
  <si>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</si>
  <si>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</si>
  <si>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</si>
  <si>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</si>
  <si>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</si>
  <si>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</si>
  <si>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</si>
  <si>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</si>
  <si>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</si>
  <si>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</si>
  <si>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</si>
  <si>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</si>
  <si>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</si>
  <si>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</si>
  <si>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</si>
  <si>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</si>
  <si>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</si>
  <si>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</si>
  <si>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</si>
  <si>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</si>
  <si>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</si>
  <si>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</si>
  <si>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</si>
  <si>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</si>
  <si>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</si>
  <si>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</si>
  <si>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</si>
  <si>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</si>
  <si>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</si>
  <si>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</si>
  <si>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</si>
  <si>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</si>
  <si>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</si>
  <si>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</si>
  <si>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</si>
  <si>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</si>
  <si>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</si>
  <si>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</si>
  <si>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</si>
  <si>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</si>
  <si>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</si>
  <si>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</si>
  <si>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</si>
  <si>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</si>
  <si>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</si>
  <si>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</si>
  <si>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</si>
  <si>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</si>
  <si>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</si>
  <si>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</si>
  <si>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</si>
  <si>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</si>
  <si>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</si>
  <si>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</si>
  <si>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</si>
  <si>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</si>
  <si>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</si>
  <si>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</si>
  <si>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</si>
  <si>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</si>
  <si>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</si>
  <si>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</si>
  <si>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</si>
  <si>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</si>
  <si>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</si>
  <si>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</si>
  <si>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</si>
  <si>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</si>
  <si>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</si>
  <si>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</si>
  <si>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</si>
  <si>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</si>
  <si>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</si>
  <si>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</si>
  <si>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</si>
  <si>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</si>
  <si>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</si>
  <si>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</si>
  <si>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</si>
  <si>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</si>
  <si>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</si>
  <si>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</si>
  <si>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</si>
  <si>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</si>
  <si>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</si>
  <si>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</si>
  <si>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</si>
  <si>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</si>
  <si>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</si>
  <si>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</si>
  <si>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</si>
  <si>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</si>
  <si>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</si>
  <si>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</si>
  <si>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</si>
  <si>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</si>
  <si>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</si>
  <si>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</si>
  <si>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</si>
  <si>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</si>
  <si>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</si>
  <si>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</si>
  <si>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</si>
  <si>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</si>
  <si>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</si>
  <si>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</si>
  <si>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</si>
  <si>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</si>
  <si>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</si>
  <si>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</si>
  <si>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</si>
  <si>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</si>
  <si>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</si>
  <si>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</si>
  <si>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</si>
  <si>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</si>
  <si>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</si>
  <si>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</si>
  <si>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</si>
  <si>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</si>
  <si>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</si>
  <si>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</si>
  <si>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</si>
  <si>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</si>
  <si>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</si>
  <si>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</si>
  <si>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</si>
  <si>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</si>
  <si>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</si>
  <si>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</si>
  <si>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</si>
  <si>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</si>
  <si>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</si>
  <si>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</si>
  <si>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</si>
  <si>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</si>
  <si>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</si>
  <si>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</si>
  <si>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</si>
  <si>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</si>
  <si>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</si>
  <si>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</si>
  <si>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</si>
  <si>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</si>
  <si>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</si>
  <si>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</si>
  <si>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</si>
  <si>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</si>
  <si>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</si>
  <si>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</si>
  <si>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</si>
  <si>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</si>
  <si>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</si>
  <si>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</si>
  <si>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</si>
  <si>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</si>
  <si>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</si>
  <si>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</si>
  <si>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</si>
  <si>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</si>
  <si>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</si>
  <si>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</si>
  <si>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</si>
  <si>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</si>
  <si>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</si>
  <si>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</si>
  <si>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</si>
  <si>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</si>
  <si>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</si>
  <si>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</si>
  <si>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</si>
  <si>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</si>
  <si>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</si>
  <si>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</si>
  <si>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</si>
  <si>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</si>
  <si>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</si>
  <si>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</si>
  <si>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</si>
  <si>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</si>
  <si>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</si>
  <si>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</si>
  <si>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</si>
  <si>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</si>
  <si>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</si>
  <si>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</si>
  <si>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</si>
  <si>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</si>
  <si>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</si>
  <si>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</si>
  <si>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</si>
  <si>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</si>
  <si>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</si>
  <si>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</si>
  <si>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</si>
  <si>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</si>
  <si>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</si>
  <si>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</si>
  <si>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</si>
  <si>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</si>
  <si>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</si>
  <si>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</si>
  <si>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</si>
  <si>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</si>
  <si>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</si>
  <si>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</si>
  <si>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</si>
  <si>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</si>
  <si>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</si>
  <si>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</si>
  <si>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</si>
  <si>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</si>
  <si>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</si>
  <si>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</si>
  <si>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</si>
  <si>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</si>
  <si>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</si>
  <si>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</si>
  <si>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</si>
  <si>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</si>
  <si>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</si>
  <si>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</si>
  <si>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</si>
  <si>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</si>
  <si>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</si>
  <si>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</si>
  <si>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</si>
  <si>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</si>
  <si>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</si>
  <si>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</si>
  <si>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</si>
  <si>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</si>
  <si>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</si>
  <si>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</si>
  <si>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</si>
  <si>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</si>
  <si>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</si>
  <si>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</si>
  <si>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</si>
  <si>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</si>
  <si>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</si>
  <si>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</si>
  <si>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</si>
  <si>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</si>
  <si>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</si>
  <si>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</si>
  <si>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</si>
  <si>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</si>
  <si>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</si>
  <si>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</si>
  <si>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</si>
  <si>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</si>
  <si>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</si>
  <si>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</si>
  <si>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</si>
  <si>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</si>
  <si>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</si>
  <si>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</si>
  <si>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</si>
  <si>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</si>
  <si>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</si>
  <si>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</si>
  <si>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</si>
  <si>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</si>
  <si>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</si>
  <si>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</si>
  <si>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</si>
  <si>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</si>
  <si>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</si>
  <si>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</si>
  <si>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</si>
  <si>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</si>
  <si>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</si>
  <si>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</si>
  <si>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</si>
  <si>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</si>
  <si>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</si>
  <si>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</si>
  <si>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</si>
  <si>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</si>
  <si>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</si>
  <si>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</si>
  <si>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</si>
  <si>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</si>
  <si>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</si>
  <si>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</si>
  <si>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</si>
  <si>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</si>
  <si>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</si>
  <si>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</si>
  <si>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</si>
  <si>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</si>
  <si>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</si>
  <si>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</si>
  <si>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</si>
  <si>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</si>
  <si>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</si>
  <si>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</si>
  <si>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</si>
  <si>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</si>
  <si>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</si>
  <si>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</si>
  <si>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</si>
  <si>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</si>
  <si>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</si>
  <si>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</si>
  <si>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</si>
  <si>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</si>
  <si>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</si>
  <si>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</si>
  <si>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</si>
  <si>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</si>
  <si>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</si>
  <si>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</si>
  <si>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</si>
  <si>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</si>
  <si>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</si>
  <si>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</si>
  <si>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</si>
  <si>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</si>
  <si>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</si>
  <si>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</si>
  <si>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</si>
  <si>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</si>
  <si>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</si>
  <si>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</si>
  <si>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</si>
  <si>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</si>
  <si>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</si>
  <si>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</si>
  <si>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</si>
  <si>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</si>
  <si>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</si>
  <si>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</si>
  <si>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</si>
  <si>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</si>
  <si>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</si>
  <si>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</si>
  <si>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</si>
  <si>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</si>
  <si>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</si>
  <si>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</si>
  <si>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</si>
  <si>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</si>
  <si>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</si>
  <si>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</si>
  <si>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</si>
  <si>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</si>
  <si>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</si>
  <si>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</si>
  <si>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</si>
  <si>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</si>
  <si>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</si>
  <si>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</si>
  <si>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</si>
  <si>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</si>
  <si>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</si>
  <si>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</si>
  <si>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</si>
  <si>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</si>
  <si>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</si>
  <si>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</si>
  <si>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</si>
  <si>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</si>
  <si>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</si>
  <si>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</si>
  <si>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</si>
  <si>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</si>
  <si>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</si>
  <si>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</si>
  <si>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</si>
  <si>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</si>
  <si>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</si>
  <si>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</si>
  <si>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</si>
  <si>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</si>
  <si>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</si>
  <si>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</si>
  <si>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</si>
  <si>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</si>
  <si>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</si>
  <si>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</si>
  <si>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</si>
  <si>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</si>
  <si>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</si>
  <si>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</si>
  <si>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</si>
  <si>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</si>
  <si>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</si>
  <si>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</si>
  <si>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</si>
  <si>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</si>
  <si>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</si>
  <si>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</si>
  <si>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</si>
  <si>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</si>
  <si>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</si>
  <si>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</si>
  <si>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</si>
  <si>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</si>
  <si>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</si>
  <si>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</si>
  <si>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</si>
  <si>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</si>
  <si>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</si>
  <si>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</si>
  <si>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</si>
  <si>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</si>
  <si>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</si>
  <si>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</si>
  <si>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</si>
  <si>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</si>
  <si>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</si>
  <si>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</si>
  <si>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</si>
  <si>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</si>
  <si>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</si>
  <si>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</si>
  <si>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</si>
  <si>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</si>
  <si>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</si>
  <si>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</si>
  <si>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</si>
  <si>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</si>
  <si>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</si>
  <si>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</si>
  <si>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</si>
  <si>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</si>
  <si>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</si>
  <si>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</si>
  <si>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</si>
  <si>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</si>
  <si>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</si>
  <si>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</si>
  <si>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</si>
  <si>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</si>
  <si>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</si>
  <si>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</si>
  <si>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</si>
  <si>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</si>
  <si>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</si>
  <si>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</si>
  <si>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</si>
  <si>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</si>
  <si>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</si>
  <si>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</si>
  <si>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</si>
  <si>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</si>
  <si>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</si>
  <si>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</si>
  <si>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</si>
  <si>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</si>
  <si>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</si>
  <si>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</si>
  <si>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</si>
  <si>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</si>
  <si>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</si>
  <si>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</si>
  <si>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</si>
  <si>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</si>
  <si>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</si>
  <si>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</si>
  <si>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</si>
  <si>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</si>
  <si>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</si>
  <si>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</si>
  <si>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</si>
  <si>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</si>
  <si>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</si>
  <si>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</si>
  <si>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</si>
  <si>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</si>
  <si>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</si>
  <si>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</si>
  <si>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</si>
  <si>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</si>
  <si>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</si>
  <si>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</si>
  <si>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</si>
  <si>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</si>
  <si>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</si>
  <si>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</si>
  <si>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</si>
  <si>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</si>
  <si>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</si>
  <si>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</si>
  <si>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</si>
  <si>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</si>
  <si>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</si>
  <si>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</si>
  <si>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</si>
  <si>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</si>
  <si>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</si>
  <si>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</si>
  <si>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</si>
  <si>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</si>
  <si>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</si>
  <si>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</si>
  <si>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</si>
  <si>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</si>
  <si>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</si>
  <si>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</si>
  <si>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</si>
  <si>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</si>
  <si>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</si>
  <si>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</si>
  <si>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</si>
  <si>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</si>
  <si>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</si>
  <si>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</si>
  <si>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</si>
  <si>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</si>
  <si>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</si>
  <si>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</si>
  <si>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</si>
  <si>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</si>
  <si>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</si>
  <si>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</si>
  <si>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</si>
  <si>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</si>
  <si>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</si>
  <si>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</si>
  <si>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</si>
  <si>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</si>
  <si>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</si>
  <si>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</si>
  <si>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</si>
  <si>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</si>
  <si>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</si>
  <si>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</si>
  <si>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</si>
  <si>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</si>
  <si>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</si>
  <si>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</si>
  <si>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</si>
  <si>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</si>
  <si>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</si>
  <si>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</si>
  <si>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</si>
  <si>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</si>
  <si>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</si>
  <si>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</si>
  <si>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</si>
  <si>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</si>
  <si>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</si>
  <si>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</si>
  <si>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</si>
  <si>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</si>
  <si>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</si>
  <si>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</si>
  <si>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</si>
  <si>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</si>
  <si>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</si>
  <si>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</si>
  <si>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</si>
  <si>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</si>
  <si>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</si>
  <si>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</si>
  <si>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</si>
  <si>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</si>
  <si>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</si>
  <si>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</si>
  <si>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</si>
  <si>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</si>
  <si>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</si>
  <si>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</si>
  <si>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</si>
  <si>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</si>
  <si>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</si>
  <si>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</si>
  <si>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</si>
  <si>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</si>
  <si>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</si>
  <si>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</si>
  <si>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</si>
  <si>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</si>
  <si>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</si>
  <si>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</si>
  <si>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</si>
  <si>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</si>
  <si>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</si>
  <si>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</si>
  <si>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</si>
  <si>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</si>
  <si>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</si>
  <si>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</si>
  <si>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</si>
  <si>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</si>
  <si>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</si>
  <si>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</si>
  <si>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</si>
  <si>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</si>
  <si>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</si>
  <si>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</si>
  <si>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</si>
  <si>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</si>
  <si>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</si>
  <si>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</si>
  <si>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</si>
  <si>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</si>
  <si>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</si>
  <si>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</si>
  <si>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</si>
  <si>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</si>
  <si>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</si>
  <si>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</si>
  <si>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</si>
  <si>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</si>
  <si>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</si>
  <si>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</si>
  <si>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</si>
  <si>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</si>
  <si>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</si>
  <si>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</si>
  <si>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</si>
  <si>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</si>
  <si>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</si>
  <si>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</si>
  <si>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</si>
  <si>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</si>
  <si>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</si>
  <si>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</si>
  <si>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</si>
  <si>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</si>
  <si>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</si>
  <si>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</si>
  <si>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</si>
  <si>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</si>
  <si>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</si>
  <si>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</si>
  <si>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</si>
  <si>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</si>
  <si>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</si>
  <si>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</si>
  <si>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</si>
  <si>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</si>
  <si>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</si>
  <si>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</si>
  <si>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</si>
  <si>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</si>
  <si>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</si>
  <si>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</si>
  <si>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</si>
  <si>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</si>
  <si>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</si>
  <si>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</si>
  <si>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</si>
  <si>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</si>
  <si>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</si>
  <si>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</si>
  <si>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</si>
  <si>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</si>
  <si>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</si>
  <si>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</si>
  <si>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</si>
  <si>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</si>
  <si>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</si>
  <si>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</si>
  <si>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</si>
  <si>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</si>
  <si>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</si>
  <si>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</si>
  <si>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</si>
  <si>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</si>
  <si>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</si>
  <si>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</si>
  <si>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</si>
  <si>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</si>
  <si>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</si>
  <si>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</si>
  <si>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</si>
  <si>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</si>
  <si>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</si>
  <si>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</si>
  <si>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</si>
  <si>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</si>
  <si>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</si>
  <si>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</si>
  <si>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</si>
  <si>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</si>
  <si>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</si>
  <si>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</si>
  <si>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</si>
  <si>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</si>
  <si>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</si>
  <si>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</si>
  <si>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</si>
  <si>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</si>
  <si>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</si>
  <si>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</si>
  <si>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</si>
  <si>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</si>
  <si>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</si>
  <si>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</si>
  <si>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</si>
  <si>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</si>
  <si>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</si>
  <si>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</si>
  <si>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</si>
  <si>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</si>
  <si>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</si>
  <si>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</si>
  <si>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</si>
  <si>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</si>
  <si>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</si>
  <si>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</si>
  <si>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</si>
  <si>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</si>
  <si>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</si>
  <si>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</si>
  <si>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</si>
  <si>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</si>
  <si>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</si>
  <si>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</si>
  <si>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</si>
  <si>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</si>
  <si>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</si>
  <si>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</si>
  <si>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</si>
  <si>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</si>
  <si>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</si>
  <si>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</si>
  <si>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</si>
  <si>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</si>
  <si>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</si>
  <si>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</si>
  <si>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</si>
  <si>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</si>
  <si>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</si>
  <si>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</si>
  <si>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</si>
  <si>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</si>
  <si>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</si>
  <si>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</si>
  <si>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</si>
  <si>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</si>
  <si>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</si>
  <si>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</si>
  <si>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</si>
  <si>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</si>
  <si>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</si>
  <si>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</si>
  <si>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</si>
  <si>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</si>
  <si>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</si>
  <si>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</si>
  <si>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</si>
  <si>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</si>
  <si>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</si>
  <si>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</si>
  <si>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</si>
  <si>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</si>
  <si>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</si>
  <si>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</si>
  <si>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</si>
  <si>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</si>
  <si>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</si>
  <si>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</si>
  <si>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</si>
  <si>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</si>
  <si>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</si>
  <si>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</si>
  <si>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</si>
  <si>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</si>
  <si>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</si>
  <si>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</si>
  <si>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</si>
  <si>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</si>
  <si>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</si>
  <si>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</si>
  <si>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</si>
  <si>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</si>
  <si>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</si>
  <si>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</si>
  <si>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</si>
  <si>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</si>
  <si>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</si>
  <si>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</si>
  <si>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</si>
  <si>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</si>
  <si>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</si>
  <si>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</si>
  <si>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</si>
  <si>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</si>
  <si>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</si>
  <si>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</si>
  <si>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</si>
  <si>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</si>
  <si>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</si>
  <si>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</si>
  <si>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</si>
  <si>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</si>
  <si>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</si>
  <si>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</si>
  <si>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</si>
  <si>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</si>
  <si>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</si>
  <si>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</si>
  <si>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</si>
  <si>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</si>
  <si>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</si>
  <si>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</si>
  <si>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</si>
  <si>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</si>
  <si>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</si>
  <si>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</si>
  <si>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</si>
  <si>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</si>
  <si>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</si>
  <si>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</si>
  <si>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</si>
  <si>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</si>
  <si>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</si>
  <si>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</si>
  <si>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</si>
  <si>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</si>
  <si>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</si>
  <si>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</si>
  <si>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</si>
  <si>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</si>
  <si>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</si>
  <si>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</si>
  <si>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</si>
  <si>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</si>
  <si>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</si>
  <si>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</si>
  <si>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</si>
  <si>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</si>
  <si>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</si>
  <si>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</si>
  <si>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</si>
  <si>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</si>
  <si>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</si>
  <si>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</si>
  <si>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</si>
  <si>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</si>
  <si>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</si>
  <si>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</si>
  <si>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</si>
  <si>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</si>
  <si>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</si>
  <si>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</si>
  <si>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</si>
  <si>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</si>
  <si>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</si>
  <si>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</si>
  <si>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</si>
  <si>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</si>
  <si>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</si>
  <si>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</si>
  <si>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</si>
  <si>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</si>
  <si>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</si>
  <si>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</si>
  <si>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</si>
  <si>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</si>
  <si>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</si>
  <si>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</si>
  <si>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</si>
  <si>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</si>
  <si>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</si>
  <si>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</si>
  <si>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</si>
  <si>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</si>
  <si>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</si>
  <si>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</si>
  <si>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</si>
  <si>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</si>
  <si>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</si>
  <si>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</si>
  <si>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</si>
  <si>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</si>
  <si>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</si>
  <si>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</si>
  <si>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</si>
  <si>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</si>
  <si>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</si>
  <si>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</si>
  <si>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</si>
  <si>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</si>
  <si>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</si>
  <si>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</si>
  <si>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</si>
  <si>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</si>
  <si>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</si>
  <si>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</si>
  <si>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</si>
  <si>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</si>
  <si>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</si>
  <si>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</si>
  <si>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</si>
  <si>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</si>
  <si>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</si>
  <si>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</si>
  <si>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</si>
  <si>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</si>
  <si>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</si>
  <si>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</si>
  <si>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</si>
  <si>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</si>
  <si>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</si>
  <si>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</si>
  <si>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</si>
  <si>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</si>
  <si>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</si>
  <si>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</si>
  <si>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</si>
  <si>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</si>
  <si>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</si>
  <si>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</si>
  <si>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</si>
  <si>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</si>
  <si>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</si>
  <si>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</si>
  <si>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</si>
  <si>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</si>
  <si>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</si>
  <si>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</si>
  <si>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</si>
  <si>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</si>
  <si>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</si>
  <si>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</si>
  <si>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</si>
  <si>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</si>
  <si>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</si>
  <si>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</si>
  <si>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</si>
  <si>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</si>
  <si>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</si>
  <si>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</si>
  <si>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</si>
  <si>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</si>
  <si>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</si>
  <si>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</si>
  <si>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</si>
  <si>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</si>
  <si>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</si>
  <si>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</si>
  <si>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</si>
  <si>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</si>
  <si>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</si>
  <si>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</si>
  <si>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</si>
  <si>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</si>
  <si>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</si>
  <si>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</si>
  <si>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</si>
  <si>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</si>
  <si>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</si>
  <si>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</si>
  <si>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</si>
  <si>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</si>
  <si>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</si>
  <si>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</si>
  <si>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</si>
  <si>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</si>
  <si>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</si>
  <si>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</si>
  <si>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</si>
  <si>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</si>
  <si>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</si>
  <si>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</si>
  <si>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</si>
  <si>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</si>
  <si>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</si>
  <si>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</si>
  <si>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</si>
  <si>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</si>
  <si>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</si>
  <si>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</si>
  <si>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</si>
  <si>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</si>
  <si>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</si>
  <si>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</si>
  <si>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</si>
  <si>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</si>
  <si>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</si>
  <si>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</si>
  <si>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</si>
  <si>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</si>
  <si>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</si>
  <si>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</si>
  <si>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</si>
  <si>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</si>
  <si>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</si>
  <si>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</si>
  <si>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</si>
  <si>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</si>
  <si>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</si>
  <si>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</si>
  <si>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</si>
  <si>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</si>
  <si>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</si>
  <si>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</si>
  <si>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</si>
  <si>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</si>
  <si>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</si>
  <si>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</si>
  <si>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</si>
  <si>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</si>
  <si>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</si>
  <si>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</si>
  <si>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</si>
  <si>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</si>
  <si>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</si>
  <si>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</si>
  <si>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</si>
  <si>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</si>
  <si>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</si>
  <si>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</si>
  <si>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</si>
  <si>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</si>
  <si>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</si>
  <si>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</si>
  <si>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</si>
  <si>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</si>
  <si>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</si>
  <si>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</si>
  <si>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</si>
  <si>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</si>
  <si>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</si>
  <si>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</si>
  <si>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</si>
  <si>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</si>
  <si>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</si>
  <si>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</si>
  <si>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</si>
  <si>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</si>
  <si>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</si>
  <si>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</si>
  <si>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</si>
  <si>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</si>
  <si>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</si>
  <si>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</si>
  <si>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</si>
  <si>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</si>
  <si>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</si>
  <si>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</si>
  <si>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</si>
  <si>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</si>
  <si>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</si>
  <si>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</si>
  <si>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</si>
  <si>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</si>
  <si>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</si>
  <si>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</si>
  <si>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</si>
  <si>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</si>
  <si>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</si>
  <si>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</si>
  <si>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</si>
  <si>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</si>
  <si>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</si>
  <si>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</si>
  <si>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</si>
  <si>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</si>
  <si>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</si>
  <si>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</si>
  <si>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</si>
  <si>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</si>
  <si>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</si>
  <si>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</si>
  <si>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</si>
  <si>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</si>
  <si>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</si>
  <si>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</si>
  <si>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</si>
  <si>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</si>
  <si>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</si>
  <si>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</si>
  <si>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</si>
  <si>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</si>
  <si>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</si>
  <si>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</si>
  <si>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</si>
  <si>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</si>
  <si>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</si>
  <si>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</si>
  <si>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</si>
  <si>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</si>
  <si>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</si>
  <si>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</si>
  <si>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</si>
  <si>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</si>
  <si>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</si>
  <si>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</si>
  <si>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</si>
  <si>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</si>
  <si>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</si>
  <si>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</si>
  <si>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</si>
  <si>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</si>
  <si>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</si>
  <si>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</si>
  <si>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</si>
  <si>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</si>
  <si>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</si>
  <si>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</si>
  <si>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</si>
  <si>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</si>
  <si>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</si>
  <si>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</si>
  <si>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</si>
  <si>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</si>
  <si>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</si>
  <si>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</si>
  <si>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</si>
  <si>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</si>
  <si>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</si>
  <si>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</si>
  <si>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</si>
  <si>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</si>
  <si>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</si>
  <si>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</si>
  <si>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</si>
  <si>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</si>
  <si>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</si>
  <si>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</si>
  <si>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</si>
  <si>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</si>
  <si>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</si>
  <si>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</si>
  <si>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</si>
  <si>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</si>
  <si>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</si>
  <si>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</si>
  <si>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</si>
  <si>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</si>
  <si>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</si>
  <si>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</si>
  <si>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</si>
  <si>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</si>
  <si>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</si>
  <si>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</si>
  <si>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</si>
  <si>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</si>
  <si>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</si>
  <si>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</si>
  <si>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</si>
  <si>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</si>
  <si>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</si>
  <si>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</si>
  <si>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</si>
  <si>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</si>
  <si>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</si>
  <si>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</si>
  <si>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</si>
  <si>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</si>
  <si>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</si>
  <si>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</si>
  <si>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</si>
  <si>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</si>
  <si>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</si>
  <si>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</si>
  <si>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</si>
  <si>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</si>
  <si>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</si>
  <si>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</si>
  <si>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</si>
  <si>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</si>
  <si>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</si>
  <si>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</si>
  <si>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</si>
  <si>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</si>
  <si>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</si>
  <si>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</si>
  <si>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</si>
  <si>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</si>
  <si>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</si>
  <si>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</si>
  <si>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</si>
  <si>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</si>
  <si>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</si>
  <si>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</si>
  <si>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</si>
  <si>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</si>
  <si>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</si>
  <si>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</si>
  <si>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</si>
  <si>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</si>
  <si>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</si>
  <si>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</si>
  <si>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</si>
  <si>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</si>
  <si>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</si>
  <si>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</si>
  <si>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</si>
  <si>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</si>
  <si>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</si>
  <si>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</si>
  <si>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</si>
  <si>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</si>
  <si>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</si>
  <si>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</si>
  <si>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</si>
  <si>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</si>
  <si>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</si>
  <si>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</si>
  <si>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</si>
  <si>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</si>
  <si>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</si>
  <si>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</si>
  <si>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</si>
  <si>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</si>
  <si>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</si>
  <si>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</si>
  <si>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</si>
  <si>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</si>
  <si>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</si>
  <si>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</si>
  <si>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</si>
  <si>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</si>
  <si>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</si>
  <si>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</si>
  <si>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</si>
  <si>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</si>
  <si>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</si>
  <si>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</si>
  <si>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</si>
  <si>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</si>
  <si>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</si>
  <si>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</si>
  <si>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</si>
  <si>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</si>
  <si>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</si>
  <si>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</si>
  <si>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</si>
  <si>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</si>
  <si>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</si>
  <si>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</si>
  <si>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</si>
  <si>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</si>
  <si>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</si>
  <si>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</si>
  <si>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</si>
  <si>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</si>
  <si>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</si>
  <si>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</si>
  <si>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</si>
  <si>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</si>
  <si>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</si>
  <si>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</si>
  <si>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</si>
  <si>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</si>
  <si>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</si>
  <si>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</si>
  <si>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</si>
  <si>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</si>
  <si>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</si>
  <si>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</si>
  <si>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</si>
  <si>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</si>
  <si>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</si>
  <si>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</si>
  <si>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</si>
  <si>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</si>
  <si>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</si>
  <si>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</si>
  <si>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</si>
  <si>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</si>
  <si>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</si>
  <si>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</si>
  <si>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</si>
  <si>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</si>
  <si>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</si>
  <si>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</si>
  <si>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</si>
  <si>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</si>
  <si>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</si>
  <si>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</si>
  <si>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</si>
  <si>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</si>
  <si>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</si>
  <si>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</si>
  <si>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</si>
  <si>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</si>
  <si>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</si>
  <si>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</si>
  <si>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</si>
  <si>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</si>
  <si>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</si>
  <si>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</si>
  <si>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</si>
  <si>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</si>
  <si>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</si>
  <si>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</si>
  <si>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</si>
  <si>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</si>
  <si>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</si>
  <si>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</si>
  <si>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</si>
  <si>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</si>
  <si>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</si>
  <si>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</si>
  <si>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</si>
  <si>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</si>
  <si>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</si>
  <si>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</si>
  <si>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</si>
  <si>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</si>
  <si>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</si>
  <si>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</si>
  <si>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</si>
  <si>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</si>
  <si>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</si>
  <si>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</si>
  <si>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</si>
  <si>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</si>
  <si>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</si>
  <si>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</si>
  <si>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</si>
  <si>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</si>
  <si>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</si>
  <si>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</si>
  <si>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</si>
  <si>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</si>
  <si>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</si>
  <si>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</si>
  <si>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</si>
  <si>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</si>
  <si>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</si>
  <si>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</si>
  <si>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</si>
  <si>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</si>
  <si>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</si>
  <si>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</si>
  <si>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</si>
  <si>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</si>
  <si>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</si>
  <si>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</si>
  <si>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</si>
  <si>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</si>
  <si>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</si>
  <si>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</si>
  <si>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</si>
  <si>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</si>
  <si>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</si>
  <si>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</si>
  <si>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</si>
  <si>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</si>
  <si>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</si>
  <si>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</si>
  <si>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</si>
  <si>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</si>
  <si>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</si>
  <si>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</si>
  <si>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</si>
  <si>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</si>
  <si>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</si>
  <si>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</si>
  <si>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</si>
  <si>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</si>
  <si>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</si>
  <si>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</si>
  <si>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</si>
  <si>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</si>
  <si>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</si>
  <si>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</si>
  <si>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</si>
  <si>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</si>
  <si>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</si>
  <si>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</si>
  <si>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</si>
  <si>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</si>
  <si>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</si>
  <si>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</si>
  <si>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</si>
  <si>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</si>
  <si>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</si>
  <si>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</si>
  <si>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</si>
  <si>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</si>
  <si>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</si>
  <si>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</si>
  <si>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</si>
  <si>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</si>
  <si>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</si>
  <si>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</si>
  <si>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</si>
  <si>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</si>
  <si>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</si>
  <si>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</si>
  <si>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</si>
  <si>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</si>
  <si>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</si>
  <si>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</si>
  <si>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</si>
  <si>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</si>
  <si>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</si>
  <si>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</si>
  <si>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</si>
  <si>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</si>
  <si>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</si>
  <si>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</si>
  <si>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</si>
  <si>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</si>
  <si>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</si>
  <si>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</si>
  <si>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</si>
  <si>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</si>
  <si>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</si>
  <si>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</si>
  <si>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</si>
  <si>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</si>
  <si>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</si>
  <si>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</si>
  <si>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</si>
  <si>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</si>
  <si>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</si>
  <si>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</si>
  <si>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</si>
  <si>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</si>
  <si>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</si>
  <si>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</si>
  <si>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</si>
  <si>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</si>
  <si>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</si>
  <si>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</si>
  <si>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</si>
  <si>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</si>
  <si>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</si>
  <si>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</si>
  <si>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</si>
  <si>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</si>
  <si>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</si>
  <si>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</si>
  <si>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</si>
  <si>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</si>
  <si>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</si>
  <si>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</si>
  <si>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</si>
  <si>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</si>
  <si>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</si>
  <si>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</si>
  <si>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</si>
  <si>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</si>
  <si>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</si>
  <si>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</si>
  <si>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</si>
  <si>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</si>
  <si>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</si>
  <si>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</si>
  <si>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</si>
  <si>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</si>
  <si>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</si>
  <si>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</si>
  <si>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</si>
  <si>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</si>
  <si>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</si>
  <si>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</si>
  <si>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</si>
  <si>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</si>
  <si>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</si>
  <si>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</si>
  <si>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</si>
  <si>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</si>
  <si>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</si>
  <si>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</si>
  <si>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</si>
  <si>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</si>
  <si>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</si>
  <si>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</si>
  <si>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</si>
  <si>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</si>
  <si>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</si>
  <si>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</si>
  <si>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</si>
  <si>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</si>
  <si>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</si>
  <si>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</si>
  <si>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</si>
  <si>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</si>
  <si>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</si>
  <si>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</si>
  <si>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</si>
  <si>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</si>
  <si>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</si>
  <si>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</si>
  <si>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</si>
  <si>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</si>
  <si>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</si>
  <si>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</si>
  <si>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</si>
  <si>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</si>
  <si>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</si>
  <si>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</si>
  <si>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</si>
  <si>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</si>
  <si>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</si>
  <si>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</si>
  <si>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</si>
  <si>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</si>
  <si>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</si>
  <si>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</si>
  <si>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</si>
  <si>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</si>
  <si>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</si>
  <si>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</si>
  <si>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</si>
  <si>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</si>
  <si>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</si>
  <si>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</si>
  <si>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</si>
  <si>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</si>
  <si>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</si>
  <si>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</si>
  <si>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</si>
  <si>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</si>
  <si>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</si>
  <si>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</si>
  <si>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</si>
  <si>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</si>
  <si>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</si>
  <si>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</si>
  <si>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</si>
  <si>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</si>
  <si>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</si>
  <si>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</si>
  <si>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</si>
  <si>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</si>
  <si>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</si>
  <si>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</si>
  <si>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</si>
  <si>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</si>
  <si>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</si>
  <si>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</si>
  <si>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</si>
  <si>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</si>
  <si>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</si>
  <si>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</si>
  <si>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</si>
  <si>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</si>
  <si>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</si>
  <si>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</si>
  <si>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</si>
  <si>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</si>
  <si>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</si>
  <si>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</si>
  <si>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</si>
  <si>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</si>
  <si>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</si>
  <si>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</si>
  <si>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</si>
  <si>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</si>
  <si>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</si>
  <si>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</si>
  <si>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</si>
  <si>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</si>
  <si>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</si>
  <si>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</si>
  <si>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</si>
  <si>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</si>
  <si>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</si>
  <si>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</si>
  <si>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</si>
  <si>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</si>
  <si>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</si>
  <si>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</si>
  <si>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</si>
  <si>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</si>
  <si>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</si>
  <si>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</si>
  <si>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</si>
  <si>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</si>
  <si>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</si>
  <si>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</si>
  <si>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</si>
  <si>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</si>
  <si>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</si>
  <si>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</si>
  <si>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</si>
  <si>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</si>
  <si>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</si>
  <si>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</si>
  <si>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</si>
  <si>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</si>
  <si>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</si>
  <si>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</si>
  <si>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</si>
  <si>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</si>
  <si>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</si>
  <si>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</si>
  <si>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</si>
  <si>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</si>
  <si>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</si>
  <si>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</si>
  <si>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</si>
  <si>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</si>
  <si>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</si>
  <si>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</si>
  <si>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</si>
  <si>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</si>
  <si>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</si>
  <si>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</si>
  <si>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</si>
  <si>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</si>
  <si>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</si>
  <si>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</si>
  <si>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</si>
  <si>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</si>
  <si>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</si>
  <si>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</si>
  <si>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</si>
  <si>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</si>
  <si>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</si>
  <si>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</si>
  <si>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</si>
  <si>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</si>
  <si>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</si>
  <si>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</si>
  <si>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</si>
  <si>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</si>
  <si>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</si>
  <si>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</si>
  <si>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</si>
  <si>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</si>
  <si>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</si>
  <si>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</si>
  <si>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</si>
  <si>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</si>
  <si>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</si>
  <si>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</si>
  <si>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</si>
  <si>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</si>
  <si>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</si>
  <si>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</si>
  <si>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</si>
  <si>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</si>
  <si>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</si>
  <si>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</si>
  <si>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</si>
  <si>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</si>
  <si>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</si>
  <si>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</si>
  <si>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</si>
  <si>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</si>
  <si>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</si>
  <si>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</si>
  <si>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</si>
  <si>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</si>
  <si>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</si>
  <si>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</si>
  <si>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</si>
  <si>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</si>
  <si>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</si>
  <si>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</si>
  <si>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</si>
  <si>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</si>
  <si>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</si>
  <si>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</si>
  <si>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</si>
  <si>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</si>
  <si>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</si>
  <si>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</si>
  <si>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</si>
  <si>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</si>
  <si>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</si>
  <si>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</si>
  <si>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</si>
  <si>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</si>
  <si>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</si>
  <si>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</si>
  <si>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</si>
  <si>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</si>
  <si>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</si>
  <si>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</si>
  <si>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</si>
  <si>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</si>
  <si>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</si>
  <si>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</si>
  <si>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</si>
  <si>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</si>
  <si>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</si>
  <si>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</si>
  <si>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</si>
  <si>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</si>
  <si>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</si>
  <si>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</si>
  <si>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</si>
  <si>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</si>
  <si>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</si>
  <si>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</si>
  <si>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</si>
  <si>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</si>
  <si>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</si>
  <si>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</si>
  <si>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</si>
  <si>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</si>
  <si>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</si>
  <si>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</si>
  <si>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</si>
  <si>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</si>
  <si>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</si>
  <si>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</si>
  <si>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</si>
  <si>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</si>
  <si>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</si>
  <si>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</si>
  <si>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</si>
  <si>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</si>
  <si>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</si>
  <si>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</si>
  <si>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</si>
  <si>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</si>
  <si>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</si>
  <si>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</si>
  <si>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</si>
  <si>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</si>
  <si>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</si>
  <si>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</si>
  <si>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</si>
  <si>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</si>
  <si>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</si>
  <si>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</si>
  <si>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</si>
  <si>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</si>
  <si>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</si>
  <si>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</si>
  <si>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</si>
  <si>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</si>
  <si>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</si>
  <si>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</si>
  <si>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</si>
  <si>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</si>
  <si>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</si>
  <si>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</si>
  <si>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</si>
  <si>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</si>
  <si>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</si>
  <si>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</si>
  <si>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</si>
  <si>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</si>
  <si>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</si>
  <si>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</si>
  <si>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</si>
  <si>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</si>
  <si>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</si>
  <si>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</si>
  <si>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</si>
  <si>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</si>
  <si>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</si>
  <si>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</si>
  <si>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</si>
  <si>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</si>
  <si>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</si>
  <si>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</si>
  <si>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</si>
  <si>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</si>
  <si>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</si>
  <si>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</si>
  <si>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</si>
  <si>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</si>
  <si>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</si>
  <si>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</si>
  <si>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</si>
  <si>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</si>
  <si>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</si>
  <si>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</si>
  <si>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</si>
  <si>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</si>
  <si>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</si>
  <si>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</si>
  <si>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</si>
  <si>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</si>
  <si>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</si>
  <si>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</si>
  <si>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</si>
  <si>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</si>
  <si>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</si>
  <si>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</si>
  <si>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</si>
  <si>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</si>
  <si>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</si>
  <si>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</si>
  <si>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</si>
  <si>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</si>
  <si>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</si>
  <si>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</si>
  <si>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</si>
  <si>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</si>
  <si>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</si>
  <si>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</si>
  <si>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</si>
  <si>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</si>
  <si>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</si>
  <si>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</si>
  <si>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</si>
  <si>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</si>
  <si>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</si>
  <si>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</si>
  <si>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</si>
  <si>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</si>
  <si>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</si>
  <si>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</si>
  <si>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</si>
  <si>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</si>
  <si>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</si>
  <si>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</si>
  <si>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</si>
  <si>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</si>
  <si>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</si>
  <si>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</si>
  <si>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</si>
  <si>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</si>
  <si>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</si>
  <si>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</si>
  <si>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</si>
  <si>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</si>
  <si>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</si>
  <si>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</si>
  <si>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</si>
  <si>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</si>
  <si>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</si>
  <si>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</si>
  <si>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</si>
  <si>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</si>
  <si>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</si>
  <si>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</si>
  <si>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</si>
  <si>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</si>
  <si>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</si>
  <si>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</si>
  <si>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</si>
  <si>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</si>
  <si>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</si>
  <si>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</si>
  <si>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</si>
  <si>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</si>
  <si>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</si>
  <si>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</si>
  <si>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</si>
  <si>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</si>
  <si>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</si>
  <si>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</si>
  <si>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</si>
  <si>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</si>
  <si>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</si>
  <si>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</si>
  <si>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</si>
  <si>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</si>
  <si>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</si>
  <si>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</si>
  <si>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</si>
  <si>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</si>
  <si>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</si>
  <si>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</si>
  <si>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</si>
  <si>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</si>
  <si>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</si>
  <si>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</si>
  <si>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</si>
  <si>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</si>
  <si>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</si>
  <si>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</si>
  <si>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</si>
  <si>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</si>
  <si>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</si>
  <si>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</si>
  <si>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</si>
  <si>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</si>
  <si>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</si>
  <si>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</si>
  <si>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</si>
  <si>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</si>
  <si>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</si>
  <si>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</si>
  <si>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</si>
  <si>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</si>
  <si>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</si>
  <si>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</si>
  <si>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</si>
  <si>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</si>
  <si>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</si>
  <si>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</si>
  <si>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</si>
  <si>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</si>
  <si>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</si>
  <si>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</si>
  <si>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</si>
  <si>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</si>
  <si>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</si>
  <si>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</si>
  <si>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</si>
  <si>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</si>
  <si>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</si>
  <si>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</si>
  <si>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</si>
  <si>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</si>
  <si>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</si>
  <si>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</si>
  <si>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</si>
  <si>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</si>
  <si>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</si>
  <si>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</si>
  <si>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</si>
  <si>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</si>
  <si>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</si>
  <si>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</si>
  <si>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</si>
  <si>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</si>
  <si>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</si>
  <si>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</si>
  <si>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</si>
  <si>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</si>
  <si>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</si>
  <si>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</si>
  <si>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</si>
  <si>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</si>
  <si>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</si>
  <si>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</si>
  <si>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</si>
  <si>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</si>
  <si>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</si>
  <si>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</si>
  <si>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</si>
  <si>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</si>
  <si>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</si>
  <si>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</si>
  <si>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</si>
  <si>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</si>
  <si>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</si>
  <si>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</si>
  <si>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</si>
  <si>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</si>
  <si>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</si>
  <si>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</si>
  <si>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</si>
  <si>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</si>
  <si>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</si>
  <si>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</si>
  <si>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</si>
  <si>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</si>
  <si>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</si>
  <si>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</si>
  <si>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</si>
  <si>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</si>
  <si>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</si>
  <si>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</si>
  <si>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</si>
  <si>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</si>
  <si>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</si>
  <si>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</si>
  <si>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</si>
  <si>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</si>
  <si>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</si>
  <si>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</si>
  <si>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</si>
  <si>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</si>
  <si>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</si>
  <si>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</si>
  <si>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</si>
  <si>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</si>
  <si>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</si>
  <si>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</si>
  <si>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</si>
  <si>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</si>
  <si>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</si>
  <si>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</si>
  <si>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</si>
  <si>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</si>
  <si>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</si>
  <si>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</si>
  <si>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</si>
  <si>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</si>
  <si>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</si>
  <si>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</si>
  <si>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</si>
  <si>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</si>
  <si>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</si>
  <si>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</si>
  <si>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</si>
  <si>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</si>
  <si>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</si>
  <si>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</si>
  <si>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</si>
  <si>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</si>
  <si>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</si>
  <si>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</si>
  <si>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</si>
  <si>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</si>
  <si>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</si>
  <si>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</si>
  <si>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</si>
  <si>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</si>
  <si>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</si>
  <si>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</si>
  <si>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</si>
  <si>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</si>
  <si>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</si>
  <si>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</si>
  <si>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</si>
  <si>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</si>
  <si>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</si>
  <si>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</si>
  <si>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</si>
  <si>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</si>
  <si>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</si>
  <si>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</si>
  <si>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</si>
  <si>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</si>
  <si>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</si>
  <si>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</si>
  <si>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</si>
  <si>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</si>
  <si>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</si>
  <si>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</si>
  <si>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</si>
  <si>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</si>
  <si>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</si>
  <si>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</si>
  <si>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</si>
  <si>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</si>
  <si>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</si>
  <si>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</si>
  <si>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</si>
  <si>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</si>
  <si>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</si>
  <si>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</si>
  <si>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</si>
  <si>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</si>
  <si>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</si>
  <si>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</si>
  <si>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</si>
  <si>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</si>
  <si>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</si>
  <si>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</si>
  <si>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</si>
  <si>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</si>
  <si>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</si>
  <si>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</si>
  <si>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</si>
  <si>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</si>
  <si>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</si>
  <si>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</si>
  <si>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</si>
  <si>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</si>
  <si>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</si>
  <si>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</si>
  <si>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</si>
  <si>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</si>
  <si>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</si>
  <si>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</si>
  <si>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</si>
  <si>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</si>
  <si>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</si>
  <si>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</si>
  <si>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</si>
  <si>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</si>
  <si>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</si>
  <si>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</si>
  <si>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</si>
  <si>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</si>
  <si>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</si>
  <si>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</si>
  <si>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</si>
  <si>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</si>
  <si>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</si>
  <si>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</si>
  <si>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</si>
  <si>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</si>
  <si>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</si>
  <si>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</si>
  <si>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</si>
  <si>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</si>
  <si>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</si>
  <si>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</si>
  <si>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</si>
  <si>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</si>
  <si>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</si>
  <si>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</si>
  <si>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</si>
  <si>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</si>
  <si>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</si>
  <si>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</si>
  <si>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</si>
  <si>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</si>
  <si>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</si>
  <si>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</si>
  <si>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</si>
  <si>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</si>
  <si>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</si>
  <si>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</si>
  <si>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</si>
  <si>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</si>
  <si>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</si>
  <si>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</si>
  <si>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</si>
  <si>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</si>
  <si>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</si>
  <si>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</si>
  <si>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</si>
  <si>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</si>
  <si>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</si>
  <si>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</si>
  <si>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</si>
  <si>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</si>
  <si>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</si>
  <si>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</si>
  <si>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</si>
  <si>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</si>
  <si>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</si>
  <si>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</si>
  <si>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</si>
  <si>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</si>
  <si>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</si>
  <si>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</si>
  <si>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</si>
  <si>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</si>
  <si>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</si>
  <si>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</si>
  <si>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</si>
  <si>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</si>
  <si>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</si>
  <si>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</si>
  <si>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</si>
  <si>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</si>
  <si>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</si>
  <si>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</si>
  <si>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</si>
  <si>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</si>
  <si>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</si>
  <si>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</si>
  <si>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</si>
  <si>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</si>
  <si>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</si>
  <si>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</si>
  <si>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</si>
  <si>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</si>
  <si>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</si>
  <si>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</si>
  <si>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</si>
  <si>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</si>
  <si>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</si>
  <si>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</si>
  <si>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</si>
  <si>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</si>
  <si>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</si>
  <si>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</si>
  <si>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</si>
  <si>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</si>
  <si>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</si>
  <si>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</si>
  <si>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</si>
  <si>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</si>
  <si>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</si>
  <si>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</si>
  <si>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</si>
  <si>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</si>
  <si>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</si>
  <si>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</si>
  <si>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</si>
  <si>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</si>
  <si>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</si>
  <si>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</si>
  <si>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</si>
  <si>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</si>
  <si>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</si>
  <si>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</si>
  <si>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</si>
  <si>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</si>
  <si>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</si>
  <si>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</si>
  <si>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</si>
  <si>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</si>
  <si>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</si>
  <si>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</si>
  <si>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</si>
  <si>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</si>
  <si>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</si>
  <si>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</si>
  <si>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</si>
  <si>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</si>
  <si>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</si>
  <si>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</si>
  <si>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</si>
  <si>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</si>
  <si>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</si>
  <si>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</si>
  <si>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</si>
  <si>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</si>
  <si>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</si>
  <si>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</si>
  <si>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</si>
  <si>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</si>
  <si>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</si>
  <si>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</si>
  <si>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</si>
  <si>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</si>
  <si>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</si>
  <si>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</si>
  <si>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</si>
  <si>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</si>
  <si>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</si>
  <si>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</si>
  <si>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</si>
  <si>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</si>
  <si>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</si>
  <si>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</si>
  <si>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</si>
  <si>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</si>
  <si>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</si>
  <si>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</si>
  <si>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</si>
  <si>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</si>
  <si>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</si>
  <si>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</si>
  <si>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</si>
  <si>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</si>
  <si>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</si>
  <si>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</si>
  <si>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</si>
  <si>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</si>
  <si>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</si>
  <si>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</si>
  <si>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</si>
  <si>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</si>
  <si>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</si>
  <si>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</si>
  <si>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</si>
  <si>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</si>
  <si>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</si>
  <si>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</si>
  <si>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</si>
  <si>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</si>
  <si>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</si>
  <si>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</si>
  <si>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</si>
  <si>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</si>
  <si>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</si>
  <si>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</si>
  <si>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</si>
  <si>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</si>
  <si>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</si>
  <si>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</si>
  <si>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</si>
  <si>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</si>
  <si>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</si>
  <si>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</si>
  <si>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</si>
  <si>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</si>
  <si>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</si>
  <si>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</si>
  <si>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</si>
  <si>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</si>
  <si>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</si>
  <si>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</si>
  <si>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</si>
  <si>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</si>
  <si>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</si>
  <si>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</si>
  <si>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</si>
  <si>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</si>
  <si>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</si>
  <si>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</si>
  <si>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</si>
  <si>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</si>
  <si>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</si>
  <si>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</si>
  <si>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</si>
  <si>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</si>
  <si>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</si>
  <si>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</si>
  <si>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</si>
  <si>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</si>
  <si>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</si>
  <si>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</si>
  <si>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</si>
  <si>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</si>
  <si>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</si>
  <si>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</si>
  <si>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</si>
  <si>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</si>
  <si>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</si>
  <si>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</si>
  <si>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</si>
  <si>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</si>
  <si>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</si>
  <si>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</si>
  <si>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</si>
  <si>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</si>
  <si>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</si>
  <si>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</si>
  <si>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</si>
  <si>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</si>
  <si>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</si>
  <si>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</si>
  <si>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</si>
  <si>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</si>
  <si>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</si>
  <si>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</si>
  <si>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</si>
  <si>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</si>
  <si>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</si>
  <si>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</si>
  <si>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</si>
  <si>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</si>
  <si>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</si>
  <si>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</si>
  <si>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</si>
  <si>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</si>
  <si>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</si>
  <si>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</si>
  <si>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</si>
  <si>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</si>
  <si>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</si>
  <si>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</si>
  <si>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</si>
  <si>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</si>
  <si>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</si>
  <si>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</si>
  <si>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</si>
  <si>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</si>
  <si>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</si>
  <si>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</si>
  <si>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</si>
  <si>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</si>
  <si>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</si>
  <si>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</si>
  <si>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</si>
  <si>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</si>
  <si>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</si>
  <si>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</si>
  <si>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</si>
  <si>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</si>
  <si>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</si>
  <si>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</si>
  <si>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</si>
  <si>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</si>
  <si>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</si>
  <si>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</si>
  <si>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</si>
  <si>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</si>
  <si>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</si>
  <si>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</si>
  <si>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</si>
  <si>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</si>
  <si>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</si>
  <si>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</si>
  <si>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</si>
  <si>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</si>
  <si>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</si>
  <si>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</si>
  <si>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</si>
  <si>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</si>
  <si>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</si>
  <si>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</si>
  <si>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</si>
  <si>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</si>
  <si>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</si>
  <si>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</si>
  <si>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</si>
  <si>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</si>
  <si>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</si>
  <si>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</si>
  <si>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</si>
  <si>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</si>
  <si>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</si>
  <si>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</si>
  <si>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</si>
  <si>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</si>
  <si>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</si>
  <si>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</si>
  <si>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</si>
  <si>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</si>
  <si>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</si>
  <si>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</si>
  <si>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</si>
  <si>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</si>
  <si>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</si>
  <si>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</si>
  <si>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</si>
  <si>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</si>
  <si>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</si>
  <si>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</si>
  <si>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</si>
  <si>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</si>
  <si>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</si>
  <si>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</si>
  <si>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</si>
  <si>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</si>
  <si>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</si>
  <si>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</si>
  <si>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</si>
  <si>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</si>
  <si>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</si>
  <si>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</si>
  <si>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</si>
  <si>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</si>
  <si>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</si>
  <si>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</si>
  <si>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</si>
  <si>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</si>
  <si>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</si>
  <si>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</si>
  <si>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</si>
  <si>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</si>
  <si>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</si>
  <si>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</si>
  <si>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</si>
  <si>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</si>
  <si>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</si>
  <si>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</si>
  <si>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</si>
  <si>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</si>
  <si>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</si>
  <si>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</si>
  <si>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</si>
  <si>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</si>
  <si>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</si>
  <si>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</si>
  <si>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</si>
  <si>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</si>
  <si>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</si>
  <si>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</si>
  <si>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</si>
  <si>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</si>
  <si>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</si>
  <si>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</si>
  <si>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</si>
  <si>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</si>
  <si>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</si>
  <si>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</si>
  <si>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</si>
  <si>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</si>
  <si>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</si>
  <si>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</si>
  <si>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</si>
  <si>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</si>
  <si>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</si>
  <si>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</si>
  <si>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</si>
  <si>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</si>
  <si>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</si>
  <si>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</si>
  <si>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</si>
  <si>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</si>
  <si>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</si>
  <si>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</si>
  <si>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</si>
  <si>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</si>
  <si>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</si>
  <si>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</si>
  <si>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</si>
  <si>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</si>
  <si>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</si>
  <si>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</si>
  <si>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</si>
  <si>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</si>
  <si>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</si>
  <si>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</si>
  <si>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</si>
  <si>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</si>
  <si>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</si>
  <si>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</si>
  <si>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</si>
  <si>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</si>
  <si>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</si>
  <si>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</si>
  <si>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</si>
  <si>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</si>
  <si>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</si>
  <si>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</si>
  <si>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</si>
  <si>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</si>
  <si>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</si>
  <si>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</si>
  <si>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</si>
  <si>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</si>
  <si>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</si>
  <si>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</si>
  <si>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</si>
  <si>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</si>
  <si>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</si>
  <si>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</si>
  <si>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</si>
  <si>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</si>
  <si>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</si>
  <si>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</si>
  <si>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</si>
  <si>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</si>
  <si>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</si>
  <si>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</si>
  <si>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</si>
  <si>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</si>
  <si>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</si>
  <si>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</si>
  <si>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</si>
  <si>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</si>
  <si>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</si>
  <si>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</si>
  <si>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</si>
  <si>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</si>
  <si>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</si>
  <si>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</si>
  <si>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</si>
  <si>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</si>
  <si>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</si>
  <si>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</si>
  <si>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</si>
  <si>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</si>
  <si>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</si>
  <si>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</si>
  <si>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</si>
  <si>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</si>
  <si>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</si>
  <si>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</si>
  <si>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</si>
  <si>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</si>
  <si>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</si>
  <si>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</si>
  <si>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</si>
  <si>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</si>
  <si>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</si>
  <si>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</si>
  <si>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</si>
  <si>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</si>
  <si>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</si>
  <si>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</si>
  <si>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</si>
  <si>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</si>
  <si>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</si>
  <si>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</si>
  <si>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</si>
  <si>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</si>
  <si>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</si>
  <si>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</si>
  <si>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</si>
  <si>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</si>
  <si>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</si>
  <si>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</si>
  <si>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</si>
  <si>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</si>
  <si>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</si>
  <si>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</si>
  <si>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</si>
  <si>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</si>
  <si>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</si>
  <si>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</si>
  <si>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</si>
  <si>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</si>
  <si>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</si>
  <si>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</si>
  <si>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</si>
  <si>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</si>
  <si>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</si>
  <si>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</si>
  <si>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</si>
  <si>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</si>
  <si>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</si>
  <si>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</si>
  <si>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</si>
  <si>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</si>
  <si>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</si>
  <si>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</si>
  <si>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</si>
  <si>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</si>
  <si>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</si>
  <si>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</si>
  <si>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</si>
  <si>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</si>
  <si>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</si>
  <si>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</si>
  <si>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</si>
  <si>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</si>
  <si>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</si>
  <si>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</si>
  <si>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</si>
  <si>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</si>
  <si>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</si>
  <si>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</si>
  <si>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</si>
  <si>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</si>
  <si>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</si>
  <si>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</si>
  <si>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</si>
  <si>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</si>
  <si>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</si>
  <si>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</si>
  <si>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</si>
  <si>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</si>
  <si>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</si>
  <si>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</si>
  <si>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</si>
  <si>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</si>
  <si>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</si>
  <si>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</si>
  <si>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</si>
  <si>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</si>
  <si>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</si>
  <si>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</si>
  <si>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</si>
  <si>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</si>
  <si>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</si>
  <si>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</si>
  <si>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</si>
  <si>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</si>
  <si>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</si>
  <si>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</si>
  <si>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</si>
  <si>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</si>
  <si>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</si>
  <si>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</si>
  <si>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</si>
  <si>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</si>
  <si>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</si>
  <si>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</si>
  <si>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</si>
  <si>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</si>
  <si>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</si>
  <si>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</si>
  <si>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</si>
  <si>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</si>
  <si>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</si>
  <si>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</si>
  <si>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</si>
  <si>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</si>
  <si>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</si>
  <si>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</si>
  <si>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</si>
  <si>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</si>
  <si>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</si>
  <si>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</si>
  <si>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</si>
  <si>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</si>
  <si>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</si>
  <si>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</si>
  <si>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</si>
  <si>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</si>
  <si>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</si>
  <si>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</si>
  <si>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</si>
  <si>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</si>
  <si>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</si>
  <si>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</si>
  <si>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</si>
  <si>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</si>
  <si>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</si>
  <si>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</si>
  <si>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</si>
  <si>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</si>
  <si>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</si>
  <si>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</si>
  <si>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</si>
  <si>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</si>
  <si>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</si>
  <si>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</si>
  <si>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</si>
  <si>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</si>
  <si>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</si>
  <si>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</si>
  <si>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</si>
  <si>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</si>
  <si>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</si>
  <si>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</si>
  <si>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</si>
  <si>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</si>
  <si>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</si>
  <si>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</si>
  <si>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</si>
  <si>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</si>
  <si>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</si>
  <si>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</si>
  <si>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</si>
  <si>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</si>
  <si>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</si>
  <si>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</si>
  <si>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</si>
  <si>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</si>
  <si>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</si>
  <si>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</si>
  <si>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</si>
  <si>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</si>
  <si>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</si>
  <si>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</si>
  <si>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</si>
  <si>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</si>
  <si>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</si>
  <si>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</si>
  <si>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</si>
  <si>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</si>
  <si>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</si>
  <si>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</si>
  <si>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</si>
  <si>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</si>
  <si>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</si>
  <si>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</si>
  <si>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</si>
  <si>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</si>
  <si>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</si>
  <si>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</si>
  <si>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</si>
  <si>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</si>
  <si>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</si>
  <si>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</si>
  <si>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</si>
  <si>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</si>
  <si>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</si>
  <si>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</si>
  <si>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</si>
  <si>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</si>
  <si>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</si>
  <si>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</si>
  <si>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</si>
  <si>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</si>
  <si>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</si>
  <si>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</si>
  <si>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</si>
  <si>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</si>
  <si>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</si>
  <si>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</si>
  <si>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</si>
  <si>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</si>
  <si>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</si>
  <si>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</si>
  <si>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</si>
  <si>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</si>
  <si>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</si>
  <si>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</si>
  <si>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</si>
  <si>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</si>
  <si>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</si>
  <si>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</si>
  <si>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</si>
  <si>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</si>
  <si>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</si>
  <si>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</si>
  <si>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</si>
  <si>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</si>
  <si>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</si>
  <si>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</si>
  <si>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</si>
  <si>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</si>
  <si>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</si>
  <si>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</si>
  <si>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</si>
  <si>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</si>
  <si>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</si>
  <si>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</si>
  <si>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</si>
  <si>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</si>
  <si>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</si>
  <si>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</si>
  <si>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</si>
  <si>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</si>
  <si>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</si>
  <si>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</si>
  <si>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</si>
  <si>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</si>
  <si>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</si>
  <si>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</si>
  <si>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</si>
  <si>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</si>
  <si>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</si>
  <si>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</si>
  <si>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</si>
  <si>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</si>
  <si>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</si>
  <si>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</si>
  <si>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</si>
  <si>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</si>
  <si>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</si>
  <si>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</si>
  <si>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</si>
  <si>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</si>
  <si>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</si>
  <si>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</si>
  <si>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</si>
  <si>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</si>
  <si>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</si>
  <si>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</si>
  <si>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</si>
  <si>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</si>
  <si>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</si>
  <si>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</si>
  <si>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</si>
  <si>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</si>
  <si>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</si>
  <si>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</si>
  <si>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</si>
  <si>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</si>
  <si>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</si>
  <si>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</si>
  <si>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</si>
  <si>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</si>
  <si>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</si>
  <si>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</si>
  <si>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</si>
  <si>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</si>
  <si>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</si>
  <si>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</si>
  <si>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</si>
  <si>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</si>
  <si>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</si>
  <si>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</si>
  <si>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</si>
  <si>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</si>
  <si>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</si>
  <si>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</si>
  <si>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</si>
  <si>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</si>
  <si>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</si>
  <si>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</si>
  <si>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</si>
  <si>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</si>
  <si>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</si>
  <si>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</si>
  <si>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</si>
  <si>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</si>
  <si>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</si>
  <si>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</si>
  <si>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</si>
  <si>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</si>
  <si>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</si>
  <si>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</si>
  <si>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</si>
  <si>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</si>
  <si>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</si>
  <si>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</si>
  <si>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</si>
  <si>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</si>
  <si>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</si>
  <si>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</si>
  <si>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</si>
  <si>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</si>
  <si>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</si>
  <si>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</si>
  <si>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</si>
  <si>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</si>
  <si>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</si>
  <si>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</si>
  <si>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</si>
  <si>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</si>
  <si>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</si>
  <si>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</si>
  <si>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</si>
  <si>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</si>
  <si>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</si>
  <si>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</si>
  <si>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</si>
  <si>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</si>
  <si>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</si>
  <si>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</si>
  <si>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</si>
  <si>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</si>
  <si>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</si>
  <si>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</si>
  <si>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</si>
  <si>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</si>
  <si>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</si>
  <si>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</si>
  <si>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</si>
  <si>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</si>
  <si>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</si>
  <si>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</si>
  <si>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</si>
  <si>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</si>
  <si>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</si>
  <si>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</si>
  <si>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</si>
  <si>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</si>
  <si>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</si>
  <si>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</si>
  <si>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</si>
  <si>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</si>
  <si>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</si>
  <si>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</si>
  <si>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</si>
  <si>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</si>
  <si>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</si>
  <si>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</si>
  <si>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</si>
  <si>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</si>
  <si>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</si>
  <si>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</si>
  <si>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</si>
  <si>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</si>
  <si>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</si>
  <si>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</si>
  <si>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</si>
  <si>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</si>
  <si>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</si>
  <si>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</si>
  <si>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</si>
  <si>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</si>
  <si>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</si>
  <si>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</si>
  <si>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</si>
  <si>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</si>
  <si>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</si>
  <si>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</si>
  <si>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</si>
  <si>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</si>
  <si>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</si>
  <si>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</si>
  <si>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</si>
  <si>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</si>
  <si>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</si>
  <si>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</si>
  <si>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</si>
  <si>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</si>
  <si>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</si>
  <si>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</si>
  <si>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</si>
  <si>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</si>
  <si>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</si>
  <si>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</si>
  <si>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</si>
  <si>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</si>
  <si>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</si>
  <si>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</si>
  <si>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</si>
  <si>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</si>
  <si>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</si>
  <si>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</si>
  <si>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</si>
  <si>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</si>
  <si>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</si>
  <si>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</si>
  <si>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</si>
  <si>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</si>
  <si>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</si>
  <si>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</si>
  <si>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</si>
  <si>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</si>
  <si>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</si>
  <si>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</si>
  <si>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</si>
  <si>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</si>
  <si>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</si>
  <si>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</si>
  <si>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</si>
  <si>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</si>
  <si>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</si>
  <si>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</si>
  <si>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</si>
  <si>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</si>
  <si>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</si>
  <si>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</si>
  <si>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</si>
  <si>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</si>
  <si>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</si>
  <si>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</si>
  <si>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</si>
  <si>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</si>
  <si>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</si>
  <si>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</si>
  <si>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</si>
  <si>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</si>
  <si>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</si>
  <si>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</si>
  <si>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</si>
  <si>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</si>
  <si>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</si>
  <si>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</si>
  <si>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</si>
  <si>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</si>
  <si>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</si>
  <si>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</si>
  <si>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</si>
  <si>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</si>
  <si>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</si>
  <si>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</si>
  <si>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</si>
  <si>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</si>
  <si>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</si>
  <si>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</si>
  <si>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</si>
  <si>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</si>
  <si>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</si>
  <si>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</si>
  <si>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</si>
  <si>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</si>
  <si>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</si>
  <si>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</si>
  <si>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</si>
  <si>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</si>
  <si>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</si>
  <si>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</si>
  <si>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</si>
  <si>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</si>
  <si>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</si>
  <si>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</si>
  <si>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</si>
  <si>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</si>
  <si>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</si>
  <si>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</si>
  <si>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</si>
  <si>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</si>
  <si>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</si>
  <si>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</si>
  <si>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</si>
  <si>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</si>
  <si>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</si>
  <si>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</si>
  <si>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</si>
  <si>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</si>
  <si>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</si>
  <si>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</si>
  <si>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</si>
  <si>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</si>
  <si>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</si>
  <si>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</si>
  <si>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</si>
  <si>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</si>
  <si>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</si>
  <si>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</si>
  <si>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</si>
  <si>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</si>
  <si>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</si>
  <si>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</si>
  <si>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</si>
  <si>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</si>
  <si>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</si>
  <si>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</si>
  <si>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</si>
  <si>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</si>
  <si>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</si>
  <si>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</si>
  <si>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</si>
  <si>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</si>
  <si>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</si>
  <si>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</si>
  <si>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</si>
  <si>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</si>
  <si>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</si>
  <si>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</si>
  <si>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</si>
  <si>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</si>
  <si>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</si>
  <si>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</si>
  <si>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</si>
  <si>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</si>
  <si>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</si>
  <si>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</si>
  <si>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</si>
  <si>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</si>
  <si>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</si>
  <si>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</si>
  <si>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</si>
  <si>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</si>
  <si>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</si>
  <si>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</si>
  <si>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</si>
  <si>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</si>
  <si>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</si>
  <si>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</si>
  <si>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</si>
  <si>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</si>
  <si>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</si>
  <si>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</si>
  <si>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</si>
  <si>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</si>
  <si>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</si>
  <si>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</si>
  <si>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</si>
  <si>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</si>
  <si>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</si>
  <si>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</si>
  <si>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</si>
  <si>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</si>
  <si>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</si>
  <si>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</si>
  <si>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</si>
  <si>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</si>
  <si>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</si>
  <si>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</si>
  <si>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</si>
  <si>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</si>
  <si>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</si>
  <si>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</si>
  <si>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</si>
  <si>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</si>
  <si>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</si>
  <si>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</si>
  <si>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</si>
  <si>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</si>
  <si>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</si>
  <si>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</si>
  <si>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</si>
  <si>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</si>
  <si>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</si>
  <si>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</si>
  <si>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</si>
  <si>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</si>
  <si>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</si>
  <si>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</si>
  <si>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</si>
  <si>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</si>
  <si>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</si>
  <si>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</si>
  <si>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</si>
  <si>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</si>
  <si>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</si>
  <si>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</si>
  <si>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</si>
  <si>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</si>
  <si>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</si>
  <si>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</si>
  <si>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</si>
  <si>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</si>
  <si>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</si>
  <si>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</si>
  <si>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</si>
  <si>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</si>
  <si>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</si>
  <si>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</si>
  <si>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</si>
  <si>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</si>
  <si>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</si>
  <si>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</si>
  <si>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</si>
  <si>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</si>
  <si>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</si>
  <si>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</si>
  <si>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</si>
  <si>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</si>
  <si>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</si>
  <si>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</si>
  <si>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</si>
  <si>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</si>
  <si>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</si>
  <si>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</si>
  <si>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</si>
  <si>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</si>
  <si>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</si>
  <si>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</si>
  <si>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</si>
  <si>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</si>
  <si>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</si>
  <si>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</si>
  <si>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</si>
  <si>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</si>
  <si>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</si>
  <si>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</si>
  <si>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</si>
  <si>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</si>
  <si>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</si>
  <si>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</si>
  <si>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</si>
  <si>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</si>
  <si>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</si>
  <si>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</si>
  <si>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</si>
  <si>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</si>
  <si>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</si>
  <si>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</si>
  <si>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</si>
  <si>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</si>
  <si>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</si>
  <si>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</si>
  <si>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</si>
  <si>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</si>
  <si>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</si>
  <si>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</si>
  <si>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</si>
  <si>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</si>
  <si>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</si>
  <si>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</si>
  <si>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</si>
  <si>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</si>
  <si>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</si>
  <si>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</si>
  <si>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</si>
  <si>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</si>
  <si>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</si>
  <si>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</si>
  <si>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</si>
  <si>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</si>
  <si>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</si>
  <si>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</si>
  <si>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</si>
  <si>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</si>
  <si>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</si>
  <si>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</si>
  <si>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</si>
  <si>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</si>
  <si>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</si>
  <si>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</si>
  <si>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</si>
  <si>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</si>
  <si>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</si>
  <si>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</si>
  <si>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</si>
  <si>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</si>
  <si>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</si>
  <si>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</si>
  <si>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</si>
  <si>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</si>
  <si>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</si>
  <si>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</si>
  <si>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</si>
  <si>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</si>
  <si>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</si>
  <si>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</si>
  <si>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</si>
  <si>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</si>
  <si>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</si>
  <si>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</si>
  <si>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</si>
  <si>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</si>
  <si>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</si>
  <si>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</si>
  <si>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</si>
  <si>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</si>
  <si>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</si>
  <si>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</si>
  <si>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</si>
  <si>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</si>
  <si>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</si>
  <si>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</si>
  <si>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</si>
  <si>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</si>
  <si>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</si>
  <si>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</si>
  <si>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</si>
  <si>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</si>
  <si>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</si>
  <si>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</si>
  <si>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</si>
  <si>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</si>
  <si>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</si>
  <si>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</si>
  <si>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</si>
  <si>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</si>
  <si>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</si>
  <si>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</si>
  <si>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</si>
  <si>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</si>
  <si>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</si>
  <si>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</si>
  <si>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</si>
  <si>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</si>
  <si>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</si>
  <si>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</si>
  <si>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</si>
  <si>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</si>
  <si>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</si>
  <si>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</si>
  <si>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</si>
  <si>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</si>
  <si>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</si>
  <si>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</si>
  <si>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</si>
  <si>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</si>
  <si>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</si>
  <si>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</si>
  <si>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</si>
  <si>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</si>
  <si>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</si>
  <si>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</si>
  <si>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</si>
  <si>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</si>
  <si>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</si>
  <si>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</si>
  <si>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</si>
  <si>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</si>
  <si>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</si>
  <si>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</si>
  <si>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</si>
  <si>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</si>
  <si>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</si>
  <si>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</si>
  <si>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</si>
  <si>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</si>
  <si>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</si>
  <si>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</si>
  <si>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</si>
  <si>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</si>
  <si>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</si>
  <si>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</si>
  <si>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</si>
  <si>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</si>
  <si>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</si>
  <si>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</si>
  <si>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</si>
  <si>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</si>
  <si>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</si>
  <si>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</si>
  <si>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</si>
  <si>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</si>
  <si>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</si>
  <si>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</si>
  <si>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</si>
  <si>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</si>
  <si>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</si>
  <si>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</si>
  <si>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</si>
  <si>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</si>
  <si>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</si>
  <si>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</si>
  <si>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</si>
  <si>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</si>
  <si>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</si>
  <si>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</si>
  <si>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</si>
  <si>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</si>
  <si>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</si>
  <si>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</si>
  <si>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</si>
  <si>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</si>
  <si>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</si>
  <si>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</si>
  <si>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</si>
  <si>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</si>
  <si>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</si>
  <si>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</si>
  <si>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</si>
  <si>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</si>
  <si>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</si>
  <si>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</si>
  <si>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</si>
  <si>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</si>
  <si>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</si>
  <si>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</si>
  <si>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</si>
  <si>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</si>
  <si>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</si>
  <si>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</si>
  <si>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</si>
  <si>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</si>
  <si>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</si>
  <si>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</si>
  <si>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</si>
  <si>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</si>
  <si>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</si>
  <si>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</si>
  <si>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</si>
  <si>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</si>
  <si>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</si>
  <si>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</si>
  <si>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</si>
  <si>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</si>
  <si>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</si>
  <si>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</si>
  <si>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</si>
  <si>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</si>
  <si>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</si>
  <si>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</si>
  <si>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</si>
  <si>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</si>
  <si>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</si>
  <si>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</si>
  <si>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</si>
  <si>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</si>
  <si>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</si>
  <si>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</si>
  <si>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</si>
  <si>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</si>
  <si>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</si>
  <si>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</si>
  <si>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</si>
  <si>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</si>
  <si>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</si>
  <si>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</si>
  <si>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</si>
  <si>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</si>
  <si>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</si>
  <si>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</si>
  <si>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</si>
  <si>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</si>
  <si>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</si>
  <si>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</si>
  <si>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</si>
  <si>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</si>
  <si>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</si>
  <si>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</si>
  <si>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</si>
  <si>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</si>
  <si>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</si>
  <si>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</si>
  <si>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</si>
  <si>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</si>
  <si>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</si>
  <si>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</si>
  <si>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</si>
  <si>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</si>
  <si>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</si>
  <si>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</si>
  <si>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</si>
  <si>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</si>
  <si>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</si>
  <si>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</si>
  <si>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</si>
  <si>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</si>
  <si>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</si>
  <si>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</si>
  <si>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</si>
  <si>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</si>
  <si>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</si>
  <si>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</si>
  <si>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</si>
  <si>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</si>
  <si>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</si>
  <si>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</si>
  <si>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</si>
  <si>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</si>
  <si>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</si>
  <si>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</si>
  <si>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</si>
  <si>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</si>
  <si>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</si>
  <si>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</si>
  <si>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</si>
  <si>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</si>
  <si>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</si>
  <si>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</si>
  <si>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</si>
  <si>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</si>
  <si>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</si>
  <si>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</si>
  <si>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</si>
  <si>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</si>
  <si>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</si>
  <si>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</si>
  <si>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</si>
  <si>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</si>
  <si>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</si>
  <si>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</si>
  <si>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</si>
  <si>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</si>
  <si>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</si>
  <si>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</si>
  <si>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</si>
  <si>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</si>
  <si>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</si>
  <si>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</si>
  <si>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</si>
  <si>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</si>
  <si>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</si>
  <si>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</si>
  <si>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</si>
  <si>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</si>
  <si>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</si>
  <si>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</si>
  <si>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</si>
  <si>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</si>
  <si>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</si>
  <si>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</si>
  <si>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</si>
  <si>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</si>
  <si>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</si>
  <si>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</si>
  <si>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</si>
  <si>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</si>
  <si>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</si>
  <si>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</si>
  <si>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</si>
  <si>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</si>
  <si>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</si>
  <si>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</si>
  <si>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</si>
  <si>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</si>
  <si>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</si>
  <si>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</si>
  <si>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</si>
  <si>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</si>
  <si>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</si>
  <si>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</si>
  <si>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</si>
  <si>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</si>
  <si>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</si>
  <si>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</si>
  <si>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</si>
  <si>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</si>
  <si>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</si>
  <si>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</si>
  <si>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</si>
  <si>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</si>
  <si>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</si>
  <si>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</si>
  <si>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</si>
  <si>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</si>
  <si>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</si>
  <si>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</si>
  <si>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</si>
  <si>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</si>
  <si>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</si>
  <si>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</si>
  <si>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</si>
  <si>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</si>
  <si>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</si>
  <si>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</si>
  <si>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</si>
  <si>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</si>
  <si>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</si>
  <si>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</si>
  <si>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</si>
  <si>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</si>
  <si>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</si>
  <si>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</si>
  <si>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</si>
  <si>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</si>
  <si>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</si>
  <si>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</si>
  <si>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</si>
  <si>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</si>
  <si>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</si>
  <si>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</si>
  <si>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</si>
  <si>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</si>
  <si>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</si>
  <si>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</si>
  <si>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</si>
  <si>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</si>
  <si>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</si>
  <si>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</si>
  <si>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</si>
  <si>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</si>
  <si>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</si>
  <si>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</si>
  <si>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</si>
  <si>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</si>
  <si>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</si>
  <si>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</si>
  <si>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</si>
  <si>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</si>
  <si>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</si>
  <si>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</si>
  <si>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</si>
  <si>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</si>
  <si>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</si>
  <si>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</si>
  <si>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</si>
  <si>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</si>
  <si>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</si>
  <si>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</si>
  <si>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</si>
  <si>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</si>
  <si>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</si>
  <si>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</si>
  <si>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</si>
  <si>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</si>
  <si>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</si>
  <si>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</si>
  <si>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</si>
  <si>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</si>
  <si>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</si>
  <si>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</si>
  <si>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</si>
  <si>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</si>
  <si>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</si>
  <si>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</si>
  <si>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</si>
  <si>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</si>
  <si>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</si>
  <si>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</si>
  <si>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</si>
  <si>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</si>
  <si>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</si>
  <si>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</si>
  <si>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</si>
  <si>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</si>
  <si>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</si>
  <si>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</si>
  <si>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</si>
  <si>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</si>
  <si>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</si>
  <si>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</si>
  <si>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</si>
  <si>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</si>
  <si>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</si>
  <si>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</si>
  <si>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</si>
  <si>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</si>
  <si>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</si>
  <si>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</si>
  <si>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</si>
  <si>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</si>
  <si>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</si>
  <si>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</si>
  <si>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</si>
  <si>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</si>
  <si>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</si>
  <si>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</si>
  <si>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</si>
  <si>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</si>
  <si>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</si>
  <si>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</si>
  <si>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</si>
  <si>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</si>
  <si>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</si>
  <si>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</si>
  <si>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</si>
  <si>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</si>
  <si>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</si>
  <si>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</si>
  <si>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</si>
  <si>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</si>
  <si>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</si>
  <si>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</si>
  <si>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</si>
  <si>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</si>
  <si>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</si>
  <si>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</si>
  <si>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</si>
  <si>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</si>
  <si>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</si>
  <si>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</si>
  <si>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</si>
  <si>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</si>
  <si>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</si>
  <si>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</si>
  <si>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</si>
  <si>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</si>
  <si>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</si>
  <si>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</si>
  <si>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</si>
  <si>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</si>
  <si>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</si>
  <si>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</si>
  <si>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</si>
  <si>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</si>
  <si>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</si>
  <si>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</si>
  <si>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</si>
  <si>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</si>
  <si>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</si>
  <si>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</si>
  <si>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</si>
  <si>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</si>
  <si>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</si>
  <si>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</si>
  <si>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</si>
  <si>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</si>
  <si>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</si>
  <si>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</si>
  <si>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</si>
  <si>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</si>
  <si>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</si>
  <si>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</si>
  <si>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</si>
  <si>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</si>
  <si>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</si>
  <si>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</si>
  <si>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</si>
  <si>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</si>
  <si>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</si>
  <si>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</si>
  <si>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</si>
  <si>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</si>
  <si>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</si>
  <si>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</si>
  <si>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</si>
  <si>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</si>
  <si>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</si>
  <si>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</si>
  <si>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</si>
  <si>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</si>
  <si>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</si>
  <si>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</si>
  <si>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</si>
  <si>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</si>
  <si>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</si>
  <si>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</si>
  <si>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</si>
  <si>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</si>
  <si>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</si>
  <si>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</si>
  <si>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</si>
  <si>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</si>
  <si>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</si>
  <si>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</si>
  <si>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</si>
  <si>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</si>
  <si>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</si>
  <si>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</si>
  <si>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</si>
  <si>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</si>
  <si>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</si>
  <si>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</si>
  <si>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</si>
  <si>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</si>
  <si>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</si>
  <si>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</si>
  <si>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</si>
  <si>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</si>
  <si>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</si>
  <si>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</si>
  <si>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</si>
  <si>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</si>
  <si>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</si>
  <si>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</si>
  <si>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</si>
  <si>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</si>
  <si>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</si>
  <si>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</si>
  <si>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</si>
  <si>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</si>
  <si>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</si>
  <si>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</si>
  <si>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</si>
  <si>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</si>
  <si>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</si>
  <si>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</si>
  <si>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</si>
  <si>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</si>
  <si>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</si>
  <si>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</si>
  <si>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</si>
  <si>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</si>
  <si>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</si>
  <si>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</si>
  <si>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</si>
  <si>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</si>
  <si>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</si>
  <si>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</si>
  <si>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</si>
  <si>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</si>
  <si>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</si>
  <si>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</si>
  <si>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</si>
  <si>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</si>
  <si>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</si>
  <si>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</si>
  <si>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</si>
  <si>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</si>
  <si>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</si>
  <si>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</si>
  <si>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</si>
  <si>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</si>
  <si>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</si>
  <si>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</si>
  <si>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</si>
  <si>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</si>
  <si>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</si>
  <si>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</si>
  <si>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</si>
  <si>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</si>
  <si>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</si>
  <si>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</si>
  <si>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</si>
  <si>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</si>
  <si>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</si>
  <si>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</si>
  <si>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</si>
  <si>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</si>
  <si>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</si>
  <si>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</si>
  <si>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</si>
  <si>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</si>
  <si>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</si>
  <si>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</si>
  <si>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</si>
  <si>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</si>
  <si>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</si>
  <si>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</si>
  <si>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</si>
  <si>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</si>
  <si>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</si>
  <si>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</si>
  <si>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</si>
  <si>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</si>
  <si>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</si>
  <si>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</si>
  <si>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</si>
  <si>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</si>
  <si>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</si>
  <si>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</si>
  <si>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</si>
  <si>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</si>
  <si>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</si>
  <si>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</si>
  <si>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</si>
  <si>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</si>
  <si>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</si>
  <si>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</si>
  <si>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</si>
  <si>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</si>
  <si>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</si>
  <si>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</si>
  <si>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</si>
  <si>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</si>
  <si>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</si>
  <si>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</si>
  <si>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</si>
  <si>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</si>
  <si>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</si>
  <si>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</si>
  <si>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</si>
  <si>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</si>
  <si>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</si>
  <si>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</si>
  <si>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</si>
  <si>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</si>
  <si>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</si>
  <si>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</si>
  <si>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</si>
  <si>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</si>
  <si>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</si>
  <si>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</si>
  <si>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</si>
  <si>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</si>
  <si>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</si>
  <si>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</si>
  <si>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</si>
  <si>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</si>
  <si>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</si>
  <si>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</si>
  <si>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</si>
  <si>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</si>
  <si>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</si>
  <si>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</si>
  <si>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</si>
  <si>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</si>
  <si>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</si>
  <si>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</si>
  <si>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</si>
  <si>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</si>
  <si>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</si>
  <si>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</si>
  <si>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</si>
  <si>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</si>
  <si>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</si>
  <si>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</si>
  <si>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</si>
  <si>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</si>
  <si>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</si>
  <si>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</si>
  <si>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</si>
  <si>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</si>
  <si>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</si>
  <si>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</si>
  <si>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</si>
  <si>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</si>
  <si>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</si>
  <si>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</si>
  <si>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</si>
  <si>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</si>
  <si>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</si>
  <si>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</si>
  <si>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</si>
  <si>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</si>
  <si>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</si>
  <si>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</si>
  <si>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</si>
  <si>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</si>
  <si>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</si>
  <si>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</si>
  <si>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</si>
  <si>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</si>
  <si>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</si>
  <si>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</si>
  <si>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</si>
  <si>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</si>
  <si>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</si>
  <si>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</si>
  <si>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</si>
  <si>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</si>
  <si>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</si>
  <si>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</si>
  <si>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</si>
  <si>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</si>
  <si>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</si>
  <si>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</si>
  <si>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</si>
  <si>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</si>
  <si>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</si>
  <si>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</si>
  <si>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</si>
  <si>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</si>
  <si>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</si>
  <si>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</si>
  <si>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</si>
  <si>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</si>
  <si>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</si>
  <si>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</si>
  <si>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</si>
  <si>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</si>
  <si>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</si>
  <si>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</si>
  <si>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</si>
  <si>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</si>
  <si>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</si>
  <si>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</si>
  <si>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</si>
  <si>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</si>
  <si>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</si>
  <si>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</si>
  <si>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</si>
  <si>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</si>
  <si>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</si>
  <si>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</si>
  <si>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</si>
  <si>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</si>
  <si>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</si>
  <si>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</si>
  <si>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</si>
  <si>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</si>
  <si>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</si>
  <si>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</si>
  <si>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</si>
  <si>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</si>
  <si>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</si>
  <si>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</si>
  <si>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</si>
  <si>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</si>
  <si>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</si>
  <si>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</si>
  <si>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</si>
  <si>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</si>
  <si>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</si>
  <si>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</si>
  <si>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</si>
  <si>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</si>
  <si>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</si>
  <si>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</si>
  <si>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</si>
  <si>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</si>
  <si>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</si>
  <si>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</si>
  <si>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</si>
  <si>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</si>
  <si>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</si>
  <si>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</si>
  <si>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</si>
  <si>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</si>
  <si>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</si>
  <si>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</si>
  <si>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</si>
  <si>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</si>
  <si>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</si>
  <si>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</si>
  <si>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</si>
  <si>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</si>
  <si>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</si>
  <si>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</si>
  <si>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</si>
  <si>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</si>
  <si>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</si>
  <si>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</si>
  <si>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</si>
  <si>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</si>
  <si>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</si>
  <si>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</si>
  <si>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</si>
  <si>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</si>
  <si>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</si>
  <si>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</si>
  <si>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</si>
  <si>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</si>
  <si>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</si>
  <si>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</si>
  <si>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</si>
  <si>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</si>
  <si>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</si>
  <si>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</si>
  <si>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</si>
  <si>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</si>
  <si>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</si>
  <si>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</si>
  <si>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</si>
  <si>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</si>
  <si>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</si>
  <si>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</si>
  <si>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</si>
  <si>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</si>
  <si>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</si>
  <si>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</si>
  <si>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</si>
  <si>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</si>
  <si>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</si>
  <si>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</si>
  <si>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</si>
  <si>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</si>
  <si>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</si>
  <si>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</si>
  <si>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</si>
  <si>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</si>
  <si>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</si>
  <si>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</si>
  <si>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</si>
  <si>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</si>
  <si>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</si>
  <si>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</si>
  <si>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</si>
  <si>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</si>
  <si>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</si>
  <si>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</si>
  <si>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</si>
  <si>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</si>
  <si>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</si>
  <si>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</si>
  <si>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</si>
  <si>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</si>
  <si>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</si>
  <si>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</si>
  <si>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</si>
  <si>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</si>
  <si>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</si>
  <si>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</si>
  <si>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</si>
  <si>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</si>
  <si>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</si>
  <si>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</si>
  <si>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</si>
  <si>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</si>
  <si>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</si>
  <si>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</si>
  <si>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</si>
  <si>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</si>
  <si>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</si>
  <si>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</si>
  <si>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</si>
  <si>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</si>
  <si>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</si>
  <si>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</si>
  <si>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</si>
  <si>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</si>
  <si>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</si>
  <si>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</si>
  <si>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</si>
  <si>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</si>
  <si>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</si>
  <si>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</si>
  <si>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</si>
  <si>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</si>
  <si>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</si>
  <si>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</si>
  <si>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</si>
  <si>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</si>
  <si>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</si>
  <si>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</si>
  <si>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</si>
  <si>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</si>
  <si>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</si>
  <si>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</si>
  <si>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</si>
  <si>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</si>
  <si>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</si>
  <si>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</si>
  <si>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</si>
  <si>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</si>
  <si>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</si>
  <si>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</si>
  <si>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</si>
  <si>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</si>
  <si>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</si>
  <si>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</si>
  <si>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</si>
  <si>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</si>
  <si>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</si>
  <si>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</si>
  <si>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</si>
  <si>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</si>
  <si>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</si>
  <si>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</si>
  <si>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</si>
  <si>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</si>
  <si>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</si>
  <si>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</si>
  <si>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</si>
  <si>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</si>
  <si>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</si>
  <si>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</si>
  <si>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</si>
  <si>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</si>
  <si>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</si>
  <si>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</si>
  <si>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</si>
  <si>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</si>
  <si>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</si>
  <si>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</si>
  <si>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</si>
  <si>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</si>
  <si>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</si>
  <si>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</si>
  <si>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</si>
  <si>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</si>
  <si>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</si>
  <si>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</si>
  <si>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</si>
  <si>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</si>
  <si>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</si>
  <si>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</si>
  <si>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</si>
  <si>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</si>
  <si>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</si>
  <si>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</si>
  <si>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</si>
  <si>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</si>
  <si>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</si>
  <si>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</si>
  <si>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</si>
  <si>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</si>
  <si>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</si>
  <si>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</si>
  <si>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</si>
  <si>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</si>
  <si>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</si>
  <si>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</si>
  <si>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</si>
  <si>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</si>
  <si>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</si>
  <si>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</si>
  <si>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</si>
  <si>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</si>
  <si>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</si>
  <si>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</si>
  <si>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</si>
  <si>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</si>
  <si>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</si>
  <si>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</si>
  <si>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</si>
  <si>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</si>
  <si>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</si>
  <si>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</si>
  <si>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</si>
  <si>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</si>
  <si>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</si>
  <si>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</si>
  <si>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</si>
  <si>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</si>
  <si>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</si>
  <si>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</si>
  <si>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</si>
  <si>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</si>
  <si>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</si>
  <si>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</si>
  <si>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</si>
  <si>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</si>
  <si>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</si>
  <si>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</si>
  <si>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</si>
  <si>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</si>
  <si>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</si>
  <si>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</si>
  <si>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</si>
  <si>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</si>
  <si>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</si>
  <si>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</si>
  <si>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</si>
  <si>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</si>
  <si>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</si>
  <si>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</si>
  <si>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</si>
  <si>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</si>
  <si>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</si>
  <si>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</si>
  <si>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</si>
  <si>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</si>
  <si>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</si>
  <si>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</si>
  <si>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</si>
  <si>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</si>
  <si>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</si>
  <si>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</si>
  <si>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</si>
  <si>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</si>
  <si>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</si>
  <si>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</si>
  <si>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</si>
  <si>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</si>
  <si>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</si>
  <si>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</si>
  <si>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</si>
  <si>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</si>
  <si>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</si>
  <si>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</si>
  <si>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</si>
  <si>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</si>
  <si>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</si>
  <si>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</si>
  <si>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</si>
  <si>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</si>
  <si>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</si>
  <si>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</si>
  <si>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</si>
  <si>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</si>
  <si>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</si>
  <si>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</si>
  <si>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</si>
  <si>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</si>
  <si>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</si>
  <si>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</si>
  <si>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</si>
  <si>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</si>
  <si>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</si>
  <si>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</si>
  <si>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</si>
  <si>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</si>
  <si>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</si>
  <si>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</si>
  <si>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</si>
  <si>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</si>
  <si>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</si>
  <si>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</si>
  <si>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</si>
  <si>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</si>
  <si>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</si>
  <si>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</si>
  <si>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</si>
  <si>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</si>
  <si>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</si>
  <si>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</si>
  <si>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</si>
  <si>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</si>
  <si>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</si>
  <si>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</si>
  <si>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</si>
  <si>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</si>
  <si>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</si>
  <si>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</si>
  <si>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</si>
  <si>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</si>
  <si>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</si>
  <si>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</si>
  <si>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</si>
  <si>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</si>
  <si>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</si>
  <si>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</si>
  <si>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</si>
  <si>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</si>
  <si>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</si>
  <si>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</si>
  <si>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</si>
  <si>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</si>
  <si>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</si>
  <si>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</si>
  <si>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</si>
  <si>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</si>
  <si>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</si>
  <si>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</si>
  <si>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</si>
  <si>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</si>
  <si>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</si>
  <si>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</si>
  <si>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</si>
  <si>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</si>
  <si>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</si>
  <si>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</si>
  <si>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</si>
  <si>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</si>
  <si>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</si>
  <si>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</si>
  <si>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</si>
  <si>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</si>
  <si>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</si>
  <si>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</si>
  <si>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</si>
  <si>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</si>
  <si>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</si>
  <si>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</si>
  <si>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</si>
  <si>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</si>
  <si>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</si>
  <si>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</si>
  <si>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</si>
  <si>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</si>
  <si>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</si>
  <si>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</si>
  <si>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</si>
  <si>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</si>
  <si>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</si>
  <si>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</si>
  <si>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</si>
  <si>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</si>
  <si>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</si>
  <si>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</si>
  <si>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</si>
  <si>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</si>
  <si>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</si>
  <si>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</si>
  <si>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</si>
  <si>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</si>
  <si>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</si>
  <si>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</si>
  <si>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</si>
  <si>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</si>
  <si>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</si>
  <si>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</si>
  <si>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</si>
  <si>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</si>
  <si>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</si>
  <si>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</si>
  <si>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</si>
  <si>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</si>
  <si>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</si>
  <si>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</si>
  <si>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</si>
  <si>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</si>
  <si>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</si>
  <si>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</si>
  <si>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</si>
  <si>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</si>
  <si>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</si>
  <si>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</si>
  <si>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</si>
  <si>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</si>
  <si>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</si>
  <si>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</si>
  <si>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</si>
  <si>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</si>
  <si>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</si>
  <si>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</si>
  <si>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</si>
  <si>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</si>
  <si>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</si>
  <si>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</si>
  <si>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</si>
  <si>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</si>
  <si>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</si>
  <si>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</si>
  <si>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</si>
  <si>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</si>
  <si>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</si>
  <si>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</si>
  <si>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</si>
  <si>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</si>
  <si>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</si>
  <si>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</si>
  <si>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</si>
  <si>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</si>
  <si>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</si>
  <si>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</si>
  <si>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</si>
  <si>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</si>
  <si>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</si>
  <si>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</si>
  <si>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</si>
  <si>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</si>
  <si>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</si>
  <si>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</si>
  <si>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</si>
  <si>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</si>
  <si>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</si>
  <si>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</si>
  <si>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</si>
  <si>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</si>
  <si>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</si>
  <si>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</si>
  <si>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</si>
  <si>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</si>
  <si>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</si>
  <si>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</si>
  <si>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</si>
  <si>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</si>
  <si>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</si>
  <si>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</si>
  <si>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</si>
  <si>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</si>
  <si>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</si>
  <si>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021 - Add shadow PEPSSI rate calculation in </t>
    </r>
    <r>
      <rPr>
        <b/>
        <sz val="11"/>
        <color theme="5" tint="-0.499984740745262"/>
        <rFont val="Calibri"/>
        <family val="2"/>
      </rPr>
      <t>2025_pb_2!AG1:AU36</t>
    </r>
    <r>
      <rPr>
        <sz val="11"/>
        <color theme="1"/>
        <rFont val="Calibri"/>
        <family val="2"/>
      </rPr>
      <t xml:space="preserve"> ; less manual, more automated</t>
    </r>
  </si>
  <si>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</si>
  <si>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</si>
  <si>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</si>
  <si>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</si>
  <si>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</si>
  <si>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</si>
  <si>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</si>
  <si>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</si>
  <si>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</si>
  <si>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</si>
  <si>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</si>
  <si>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</si>
  <si>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</si>
  <si>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</si>
  <si>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</si>
  <si>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</si>
  <si>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</si>
  <si>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</si>
  <si>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</si>
  <si>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</si>
  <si>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</si>
  <si>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</si>
  <si>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</si>
  <si>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</si>
  <si>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</si>
  <si>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</si>
  <si>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</si>
  <si>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</si>
  <si>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</si>
  <si>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</si>
  <si>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</si>
  <si>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</si>
  <si>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</si>
  <si>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</si>
  <si>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</si>
  <si>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</si>
  <si>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</si>
  <si>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</si>
  <si>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</si>
  <si>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</si>
  <si>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</si>
  <si>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</si>
  <si>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</si>
  <si>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</si>
  <si>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</si>
  <si>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</si>
  <si>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</si>
  <si>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</si>
  <si>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</si>
  <si>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</si>
  <si>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</si>
  <si>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</si>
  <si>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</si>
  <si>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</si>
  <si>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</si>
  <si>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</si>
  <si>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</si>
  <si>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</si>
  <si>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</si>
  <si>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</si>
  <si>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</si>
  <si>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</si>
  <si>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</si>
  <si>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</si>
  <si>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</si>
  <si>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</si>
  <si>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</si>
  <si>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</si>
  <si>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</si>
  <si>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</si>
  <si>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</si>
  <si>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</si>
  <si>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</si>
  <si>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</si>
  <si>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</si>
  <si>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</si>
  <si>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</si>
  <si>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</si>
  <si>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</si>
  <si>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</si>
  <si>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</si>
  <si>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</si>
  <si>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</si>
  <si>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</si>
  <si>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</si>
  <si>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</si>
  <si>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</si>
  <si>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</si>
  <si>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</si>
  <si>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</si>
  <si>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</si>
  <si>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</si>
  <si>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</si>
  <si>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</si>
  <si>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</si>
  <si>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</si>
  <si>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</si>
  <si>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</si>
  <si>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</si>
  <si>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</si>
  <si>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</si>
  <si>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</si>
  <si>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</si>
  <si>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</si>
  <si>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</si>
  <si>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</si>
  <si>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</si>
  <si>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</si>
  <si>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</si>
  <si>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</si>
  <si>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</si>
  <si>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</si>
  <si>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</si>
  <si>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</si>
  <si>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</si>
  <si>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</si>
  <si>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</si>
  <si>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</si>
  <si>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</si>
  <si>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</si>
  <si>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</si>
  <si>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</si>
  <si>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</si>
  <si>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</si>
  <si>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</si>
  <si>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</si>
  <si>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</si>
  <si>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</si>
  <si>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</si>
  <si>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</si>
  <si>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</si>
  <si>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</si>
  <si>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</si>
  <si>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</si>
  <si>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</si>
  <si>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</si>
  <si>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</si>
  <si>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</si>
  <si>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</si>
  <si>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</si>
  <si>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</si>
  <si>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</si>
  <si>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</si>
  <si>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</si>
  <si>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</si>
  <si>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</si>
  <si>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</si>
  <si>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</si>
  <si>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</si>
  <si>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</si>
  <si>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</si>
  <si>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</si>
  <si>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</si>
  <si>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</si>
  <si>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</si>
  <si>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</si>
  <si>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</si>
  <si>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</si>
  <si>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</si>
  <si>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</si>
  <si>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</si>
  <si>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</si>
  <si>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</si>
  <si>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</si>
  <si>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</si>
  <si>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</si>
  <si>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</si>
  <si>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</si>
  <si>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</si>
  <si>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</si>
  <si>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</si>
  <si>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</si>
  <si>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</si>
  <si>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</si>
  <si>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</si>
  <si>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</si>
  <si>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</si>
  <si>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</si>
  <si>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</si>
  <si>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</si>
  <si>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</si>
  <si>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</si>
  <si>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</si>
  <si>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</si>
  <si>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</si>
  <si>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</si>
  <si>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</si>
  <si>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</si>
  <si>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</si>
  <si>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</si>
  <si>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</si>
  <si>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</si>
  <si>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</si>
  <si>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</si>
  <si>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</si>
  <si>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</si>
  <si>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</si>
  <si>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</si>
  <si>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</si>
  <si>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</si>
  <si>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</si>
  <si>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</si>
  <si>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</si>
  <si>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</si>
  <si>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</si>
  <si>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</si>
  <si>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</si>
  <si>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</si>
  <si>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</si>
  <si>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</si>
  <si>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</si>
  <si>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</si>
  <si>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</si>
  <si>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</si>
  <si>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</si>
  <si>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</si>
  <si>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</si>
  <si>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</si>
  <si>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</si>
  <si>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</si>
  <si>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</si>
  <si>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</si>
  <si>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</si>
  <si>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</si>
  <si>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</si>
  <si>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</si>
  <si>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</si>
  <si>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</si>
  <si>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</si>
  <si>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</si>
  <si>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</si>
  <si>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</si>
  <si>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</si>
  <si>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</si>
  <si>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</si>
  <si>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</si>
  <si>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</si>
  <si>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</si>
  <si>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</si>
  <si>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</si>
  <si>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</si>
  <si>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</si>
  <si>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</si>
  <si>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</si>
  <si>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</si>
  <si>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</si>
  <si>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</si>
  <si>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</si>
  <si>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</si>
  <si>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</si>
  <si>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</si>
  <si>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</si>
  <si>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</si>
  <si>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</si>
  <si>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</si>
  <si>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</si>
  <si>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</si>
  <si>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</si>
  <si>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</si>
  <si>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</si>
  <si>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</si>
  <si>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</si>
  <si>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</si>
  <si>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</si>
  <si>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</si>
  <si>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</si>
  <si>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</si>
  <si>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</si>
  <si>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</si>
  <si>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</si>
  <si>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</si>
  <si>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</si>
  <si>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</si>
  <si>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</si>
  <si>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</si>
  <si>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</si>
  <si>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</si>
  <si>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</si>
  <si>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</si>
  <si>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</si>
  <si>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</si>
  <si>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</si>
  <si>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</si>
  <si>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</si>
  <si>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</si>
  <si>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</si>
  <si>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</si>
  <si>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</si>
  <si>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</si>
  <si>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</si>
  <si>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</si>
  <si>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</si>
  <si>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</si>
  <si>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</si>
  <si>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t>251_1 full, forward calc</t>
  </si>
  <si>
    <t>252_1 full, forward calc</t>
  </si>
  <si>
    <t>253_1 full, forward calc</t>
  </si>
  <si>
    <t>253_2 part 1, fixed-times calc</t>
  </si>
  <si>
    <t>253_2 part 2, forward calc</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</si>
  <si>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</si>
  <si>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</si>
  <si>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</si>
  <si>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</si>
  <si>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</si>
  <si>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</si>
  <si>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</si>
  <si>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</si>
  <si>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</si>
  <si>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</si>
  <si>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</si>
  <si>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</si>
  <si>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</si>
  <si>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</si>
  <si>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</si>
  <si>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</si>
  <si>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</si>
  <si>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</si>
  <si>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</si>
  <si>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</si>
  <si>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Remove external link dependencies (='C:\...\oldWorsheet]|SWAP Data Volumns'!...)</t>
  </si>
  <si>
    <t xml:space="preserve"> HSK3 →</t>
  </si>
  <si>
    <t>B14:B183</t>
  </si>
  <si>
    <t>250_3 full, forward calc</t>
  </si>
  <si>
    <t>#FFF2CC</t>
  </si>
  <si>
    <t>#FFBF00</t>
  </si>
  <si>
    <t>#CCFFCC</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</si>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</sst>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0.0E+00"/>
    <numFmt numFmtId="173" formatCode="m/d/yyyy\ hh:mm:ss"/>
    <numFmt numFmtId="174" formatCode="yyyy\-mm\-dd\ hh:mm:ss"/>
  </numFmts>
  <fonts count="76">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b/>
      <sz val="11"/>
      <color theme="5" tint="-0.499984740745262"/>
      <name val="Calibri"/>
      <family val="2"/>
    </font>
    <font>
      <b/>
      <sz val="8"/>
      <name val="Arial"/>
      <family val="2"/>
    </font>
    <font>
      <sz val="8"/>
      <color theme="0"/>
      <name val="Calibri"/>
      <family val="2"/>
    </font>
    <font>
      <b/>
      <sz val="12"/>
      <name val="Calibri"/>
      <family val="2"/>
    </font>
    <font>
      <b/>
      <i/>
      <sz val="11"/>
      <name val="Calibri"/>
      <family val="2"/>
    </font>
    <font>
      <sz val="11"/>
      <name val="Aptos Narrow"/>
      <family val="2"/>
    </font>
    <font>
      <vertAlign val="superscript"/>
      <sz val="11"/>
      <name val="Calibri"/>
      <family val="2"/>
    </font>
  </fonts>
  <fills count="76">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FFBF00"/>
        <bgColor indexed="64"/>
      </patternFill>
    </fill>
  </fills>
  <borders count="56">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81">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5" fillId="0" borderId="0" xfId="4" applyFont="1"/>
    <xf numFmtId="0" fontId="6" fillId="0" borderId="0" xfId="4" applyFont="1"/>
    <xf numFmtId="164" fontId="5" fillId="0" borderId="0" xfId="4" applyNumberFormat="1" applyFont="1" applyAlignment="1">
      <alignment horizontal="right"/>
    </xf>
    <xf numFmtId="0" fontId="66" fillId="0" borderId="0" xfId="4" applyFont="1" applyAlignment="1">
      <alignment horizontal="center"/>
    </xf>
    <xf numFmtId="0" fontId="52" fillId="0" borderId="0" xfId="4" applyFont="1" applyAlignment="1">
      <alignment horizontal="center"/>
    </xf>
    <xf numFmtId="0" fontId="11" fillId="0" borderId="27" xfId="0" applyFont="1" applyBorder="1" applyAlignment="1">
      <alignment horizontal="right"/>
    </xf>
    <xf numFmtId="0" fontId="11" fillId="0" borderId="28" xfId="0" applyFont="1" applyBorder="1" applyAlignment="1">
      <alignment horizontal="center"/>
    </xf>
    <xf numFmtId="0" fontId="0" fillId="0" borderId="25" xfId="0" applyBorder="1" applyAlignment="1">
      <alignment horizontal="center"/>
    </xf>
    <xf numFmtId="0" fontId="0" fillId="0" borderId="29" xfId="0" applyBorder="1" applyAlignment="1">
      <alignment horizontal="center"/>
    </xf>
    <xf numFmtId="0" fontId="0" fillId="24" borderId="0" xfId="0" applyFill="1" applyAlignment="1">
      <alignment horizontal="center"/>
    </xf>
    <xf numFmtId="1" fontId="0" fillId="54" borderId="0" xfId="0" applyNumberFormat="1" applyFill="1" applyAlignment="1">
      <alignment horizontal="right"/>
    </xf>
    <xf numFmtId="1" fontId="0" fillId="54" borderId="12" xfId="0" applyNumberFormat="1" applyFill="1" applyBorder="1" applyAlignment="1">
      <alignment horizontal="right"/>
    </xf>
    <xf numFmtId="0" fontId="0" fillId="54" borderId="0" xfId="0" applyFill="1" applyAlignment="1">
      <alignment horizontal="center"/>
    </xf>
    <xf numFmtId="0" fontId="0" fillId="55" borderId="0" xfId="0" applyFill="1" applyAlignment="1">
      <alignment horizontal="center"/>
    </xf>
    <xf numFmtId="1" fontId="0" fillId="55" borderId="0" xfId="0" applyNumberFormat="1" applyFill="1" applyAlignment="1">
      <alignment horizontal="center"/>
    </xf>
    <xf numFmtId="1" fontId="0" fillId="55" borderId="12" xfId="0" quotePrefix="1" applyNumberFormat="1" applyFill="1" applyBorder="1" applyAlignment="1">
      <alignment horizontal="center"/>
    </xf>
    <xf numFmtId="1" fontId="12" fillId="54" borderId="0" xfId="0" applyNumberFormat="1" applyFont="1" applyFill="1" applyAlignment="1">
      <alignment horizontal="center"/>
    </xf>
    <xf numFmtId="0" fontId="19" fillId="0" borderId="0" xfId="0" applyFont="1"/>
    <xf numFmtId="0" fontId="0" fillId="56"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30" xfId="0" applyBorder="1" applyAlignment="1">
      <alignment horizontal="center"/>
    </xf>
    <xf numFmtId="0" fontId="24" fillId="0" borderId="0" xfId="0" applyFont="1" applyAlignment="1">
      <alignment horizontal="center"/>
    </xf>
    <xf numFmtId="0" fontId="0" fillId="58" borderId="30" xfId="0" applyFill="1" applyBorder="1" applyAlignment="1">
      <alignment horizontal="center"/>
    </xf>
    <xf numFmtId="168" fontId="0" fillId="58" borderId="30" xfId="0" applyNumberFormat="1" applyFill="1" applyBorder="1" applyAlignment="1">
      <alignment horizontal="center"/>
    </xf>
    <xf numFmtId="0" fontId="0" fillId="57" borderId="9" xfId="0" applyFill="1" applyBorder="1" applyAlignment="1">
      <alignment horizontal="center"/>
    </xf>
    <xf numFmtId="0" fontId="0" fillId="57" borderId="16" xfId="0" applyFill="1" applyBorder="1" applyAlignment="1">
      <alignment horizontal="center"/>
    </xf>
    <xf numFmtId="0" fontId="0" fillId="57" borderId="7" xfId="0" applyFill="1" applyBorder="1" applyAlignment="1">
      <alignment horizontal="center"/>
    </xf>
    <xf numFmtId="0" fontId="0" fillId="57" borderId="18" xfId="0" applyFill="1" applyBorder="1" applyAlignment="1">
      <alignment horizontal="center"/>
    </xf>
    <xf numFmtId="0" fontId="0" fillId="0" borderId="30" xfId="0" applyBorder="1"/>
    <xf numFmtId="0" fontId="0" fillId="24" borderId="0" xfId="0" applyFill="1"/>
    <xf numFmtId="0" fontId="0" fillId="30" borderId="0" xfId="0" applyFill="1"/>
    <xf numFmtId="0" fontId="0" fillId="57" borderId="9" xfId="0" applyFill="1" applyBorder="1"/>
    <xf numFmtId="0" fontId="0" fillId="0" borderId="9" xfId="0" applyBorder="1"/>
    <xf numFmtId="0" fontId="0" fillId="57" borderId="10" xfId="0" applyFill="1" applyBorder="1"/>
    <xf numFmtId="0" fontId="0" fillId="0" borderId="10" xfId="0" applyBorder="1"/>
    <xf numFmtId="0" fontId="0" fillId="57"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3" fontId="58" fillId="0" borderId="0" xfId="3" applyNumberFormat="1"/>
    <xf numFmtId="174"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1" xfId="0" applyFont="1" applyBorder="1" applyAlignment="1">
      <alignment horizontal="center"/>
    </xf>
    <xf numFmtId="0" fontId="18" fillId="0" borderId="8" xfId="0" applyFont="1" applyBorder="1" applyAlignment="1">
      <alignment horizontal="center"/>
    </xf>
    <xf numFmtId="0" fontId="18" fillId="0" borderId="32"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9"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60" borderId="0" xfId="0" applyNumberFormat="1" applyFill="1" applyAlignment="1">
      <alignment horizontal="center"/>
    </xf>
    <xf numFmtId="0" fontId="0" fillId="61" borderId="0" xfId="0" applyFill="1"/>
    <xf numFmtId="169" fontId="11" fillId="62"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2" borderId="8" xfId="0" applyNumberFormat="1" applyFont="1" applyFill="1" applyBorder="1" applyAlignment="1">
      <alignment horizontal="center"/>
    </xf>
    <xf numFmtId="2" fontId="17" fillId="63" borderId="0" xfId="1" applyNumberFormat="1" applyFont="1" applyFill="1" applyAlignment="1">
      <alignment horizontal="center"/>
    </xf>
    <xf numFmtId="0" fontId="11" fillId="35" borderId="19" xfId="0" applyFont="1" applyFill="1" applyBorder="1"/>
    <xf numFmtId="1" fontId="21" fillId="42" borderId="35" xfId="0" applyNumberFormat="1" applyFont="1" applyFill="1" applyBorder="1" applyAlignment="1">
      <alignment horizontal="center"/>
    </xf>
    <xf numFmtId="1" fontId="0" fillId="35" borderId="1" xfId="0" applyNumberFormat="1" applyFill="1" applyBorder="1" applyAlignment="1">
      <alignment horizontal="center"/>
    </xf>
    <xf numFmtId="0" fontId="11" fillId="63" borderId="0" xfId="0" applyFont="1" applyFill="1" applyAlignment="1">
      <alignment horizontal="center"/>
    </xf>
    <xf numFmtId="0" fontId="0" fillId="35" borderId="36"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4" borderId="0" xfId="0" applyFill="1"/>
    <xf numFmtId="0" fontId="46" fillId="64" borderId="22" xfId="0" applyFont="1" applyFill="1" applyBorder="1"/>
    <xf numFmtId="0" fontId="70" fillId="61" borderId="22" xfId="0" applyFont="1" applyFill="1" applyBorder="1"/>
    <xf numFmtId="0" fontId="47" fillId="61"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7" xfId="0" applyNumberFormat="1" applyBorder="1"/>
    <xf numFmtId="0" fontId="0" fillId="0" borderId="38" xfId="0" applyBorder="1"/>
    <xf numFmtId="0" fontId="17" fillId="16" borderId="38" xfId="1" applyFont="1" applyFill="1" applyBorder="1"/>
    <xf numFmtId="169" fontId="21" fillId="21" borderId="38" xfId="0" applyNumberFormat="1" applyFont="1" applyFill="1" applyBorder="1" applyAlignment="1">
      <alignment horizontal="center"/>
    </xf>
    <xf numFmtId="1" fontId="21" fillId="21" borderId="38" xfId="0" applyNumberFormat="1" applyFont="1" applyFill="1" applyBorder="1" applyAlignment="1">
      <alignment horizontal="center"/>
    </xf>
    <xf numFmtId="1" fontId="21" fillId="4" borderId="38" xfId="0" applyNumberFormat="1" applyFont="1" applyFill="1" applyBorder="1" applyAlignment="1">
      <alignment horizontal="center"/>
    </xf>
    <xf numFmtId="1" fontId="50" fillId="0" borderId="38" xfId="0" applyNumberFormat="1" applyFont="1" applyBorder="1" applyAlignment="1">
      <alignment horizontal="center"/>
    </xf>
    <xf numFmtId="1" fontId="0" fillId="0" borderId="38" xfId="0" applyNumberFormat="1" applyBorder="1" applyAlignment="1">
      <alignment horizontal="center"/>
    </xf>
    <xf numFmtId="0" fontId="0" fillId="0" borderId="38" xfId="0" applyBorder="1" applyAlignment="1">
      <alignment horizontal="center"/>
    </xf>
    <xf numFmtId="1" fontId="0" fillId="4" borderId="38" xfId="0" applyNumberFormat="1" applyFill="1" applyBorder="1" applyAlignment="1">
      <alignment horizontal="center"/>
    </xf>
    <xf numFmtId="0" fontId="11" fillId="4" borderId="38" xfId="0" applyFont="1" applyFill="1" applyBorder="1" applyAlignment="1">
      <alignment horizontal="center"/>
    </xf>
    <xf numFmtId="0" fontId="17" fillId="2" borderId="38" xfId="1" applyFont="1" applyFill="1" applyBorder="1" applyAlignment="1">
      <alignment vertical="center" wrapText="1"/>
    </xf>
    <xf numFmtId="0" fontId="0" fillId="0" borderId="39" xfId="0" applyBorder="1"/>
    <xf numFmtId="0" fontId="0" fillId="0" borderId="40"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4"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5"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6" borderId="5" xfId="0" applyNumberFormat="1" applyFill="1" applyBorder="1" applyAlignment="1">
      <alignment horizontal="center"/>
    </xf>
    <xf numFmtId="0" fontId="11" fillId="66"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11" fillId="10" borderId="0" xfId="0" applyFont="1" applyFill="1" applyAlignment="1">
      <alignment horizontal="center"/>
    </xf>
    <xf numFmtId="0" fontId="0" fillId="49" borderId="30" xfId="0" applyFill="1" applyBorder="1" applyAlignment="1">
      <alignment horizontal="center"/>
    </xf>
    <xf numFmtId="0" fontId="0" fillId="67" borderId="10" xfId="0" applyFill="1" applyBorder="1"/>
    <xf numFmtId="0" fontId="0" fillId="67" borderId="10" xfId="0" applyFill="1" applyBorder="1" applyAlignment="1">
      <alignment horizontal="center"/>
    </xf>
    <xf numFmtId="171" fontId="0" fillId="67" borderId="0" xfId="0" applyNumberFormat="1" applyFill="1"/>
    <xf numFmtId="1" fontId="12" fillId="54" borderId="12" xfId="0" applyNumberFormat="1" applyFont="1" applyFill="1" applyBorder="1" applyAlignment="1">
      <alignment horizontal="center"/>
    </xf>
    <xf numFmtId="0" fontId="0" fillId="54" borderId="12" xfId="0" applyFill="1" applyBorder="1" applyAlignment="1">
      <alignment horizontal="center"/>
    </xf>
    <xf numFmtId="0" fontId="0" fillId="0" borderId="12" xfId="0" applyBorder="1" applyAlignment="1">
      <alignment horizontal="right"/>
    </xf>
    <xf numFmtId="0" fontId="18" fillId="0" borderId="0" xfId="0" applyFont="1" applyAlignment="1">
      <alignment horizontal="center"/>
    </xf>
    <xf numFmtId="0" fontId="0" fillId="0" borderId="33" xfId="0" applyBorder="1"/>
    <xf numFmtId="0" fontId="0" fillId="0" borderId="4" xfId="0" applyBorder="1"/>
    <xf numFmtId="0" fontId="0" fillId="0" borderId="5" xfId="0" applyBorder="1"/>
    <xf numFmtId="0" fontId="0" fillId="0" borderId="13" xfId="0" applyBorder="1"/>
    <xf numFmtId="0" fontId="0" fillId="0" borderId="29" xfId="0" applyBorder="1"/>
    <xf numFmtId="0" fontId="0" fillId="0" borderId="43"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2" xfId="0" applyFont="1" applyFill="1" applyBorder="1" applyAlignment="1">
      <alignment horizontal="center"/>
    </xf>
    <xf numFmtId="0" fontId="18" fillId="68" borderId="33" xfId="0" applyFont="1" applyFill="1" applyBorder="1" applyAlignment="1">
      <alignment horizontal="center"/>
    </xf>
    <xf numFmtId="0" fontId="18" fillId="68" borderId="4" xfId="0" applyFont="1" applyFill="1" applyBorder="1" applyAlignment="1">
      <alignment horizontal="center"/>
    </xf>
    <xf numFmtId="0" fontId="18" fillId="68" borderId="42" xfId="0" applyFont="1" applyFill="1" applyBorder="1"/>
    <xf numFmtId="0" fontId="18" fillId="68" borderId="4" xfId="0" applyFont="1" applyFill="1" applyBorder="1"/>
    <xf numFmtId="0" fontId="71" fillId="69" borderId="4" xfId="0" applyFont="1" applyFill="1" applyBorder="1"/>
    <xf numFmtId="0" fontId="71" fillId="69" borderId="24" xfId="0" applyFont="1" applyFill="1" applyBorder="1" applyAlignment="1">
      <alignment horizontal="center"/>
    </xf>
    <xf numFmtId="0" fontId="71" fillId="69" borderId="0" xfId="0" applyFont="1" applyFill="1" applyAlignment="1">
      <alignment horizontal="center"/>
    </xf>
    <xf numFmtId="0" fontId="71" fillId="69" borderId="12" xfId="0" applyFont="1" applyFill="1" applyBorder="1" applyAlignment="1">
      <alignment horizontal="center"/>
    </xf>
    <xf numFmtId="0" fontId="71" fillId="70" borderId="6" xfId="0" applyFont="1" applyFill="1" applyBorder="1" applyAlignment="1">
      <alignment horizontal="center"/>
    </xf>
    <xf numFmtId="0" fontId="71" fillId="70" borderId="20" xfId="0" applyFont="1" applyFill="1" applyBorder="1" applyAlignment="1">
      <alignment horizontal="center"/>
    </xf>
    <xf numFmtId="0" fontId="71" fillId="70" borderId="0" xfId="0" applyFont="1" applyFill="1" applyAlignment="1">
      <alignment horizontal="center"/>
    </xf>
    <xf numFmtId="0" fontId="71" fillId="71" borderId="0" xfId="0" applyFont="1" applyFill="1" applyAlignment="1">
      <alignment horizontal="center"/>
    </xf>
    <xf numFmtId="0" fontId="0" fillId="0" borderId="0" xfId="0" applyAlignment="1">
      <alignment wrapText="1"/>
    </xf>
    <xf numFmtId="0" fontId="18" fillId="72" borderId="5" xfId="0" applyFont="1" applyFill="1" applyBorder="1"/>
    <xf numFmtId="0" fontId="0" fillId="73" borderId="21" xfId="0" applyFill="1" applyBorder="1"/>
    <xf numFmtId="0" fontId="0" fillId="73" borderId="23" xfId="0" applyFill="1" applyBorder="1"/>
    <xf numFmtId="0" fontId="0" fillId="73" borderId="1" xfId="0" applyFill="1" applyBorder="1"/>
    <xf numFmtId="0" fontId="0" fillId="73" borderId="1" xfId="0" applyFill="1" applyBorder="1" applyAlignment="1">
      <alignment horizontal="right"/>
    </xf>
    <xf numFmtId="0" fontId="0" fillId="73" borderId="19" xfId="0" applyFill="1" applyBorder="1"/>
    <xf numFmtId="0" fontId="18" fillId="73" borderId="41" xfId="0" applyFont="1" applyFill="1" applyBorder="1" applyAlignment="1">
      <alignment horizontal="center"/>
    </xf>
    <xf numFmtId="0" fontId="0" fillId="73" borderId="44" xfId="0" applyFill="1" applyBorder="1"/>
    <xf numFmtId="0" fontId="0" fillId="72" borderId="45" xfId="0" applyFill="1" applyBorder="1"/>
    <xf numFmtId="0" fontId="0" fillId="74"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0" fillId="0" borderId="28" xfId="0" applyBorder="1"/>
    <xf numFmtId="0" fontId="0" fillId="54" borderId="0" xfId="0" applyFill="1"/>
    <xf numFmtId="0" fontId="0" fillId="55" borderId="0" xfId="0" applyFill="1"/>
    <xf numFmtId="172" fontId="0" fillId="55" borderId="0" xfId="0" applyNumberFormat="1" applyFill="1"/>
    <xf numFmtId="1" fontId="0" fillId="24" borderId="8" xfId="0" applyNumberFormat="1" applyFill="1" applyBorder="1"/>
    <xf numFmtId="1" fontId="0" fillId="54" borderId="0" xfId="0" applyNumberFormat="1" applyFill="1"/>
    <xf numFmtId="0" fontId="0" fillId="54" borderId="12" xfId="0" applyFill="1" applyBorder="1"/>
    <xf numFmtId="0" fontId="0" fillId="55" borderId="12" xfId="0" applyFill="1" applyBorder="1"/>
    <xf numFmtId="172" fontId="0" fillId="55" borderId="12" xfId="0" applyNumberFormat="1" applyFill="1" applyBorder="1"/>
    <xf numFmtId="1" fontId="0" fillId="24" borderId="12" xfId="0" applyNumberFormat="1" applyFill="1" applyBorder="1"/>
    <xf numFmtId="1" fontId="0" fillId="54" borderId="12" xfId="0" applyNumberFormat="1" applyFill="1" applyBorder="1"/>
    <xf numFmtId="1" fontId="0" fillId="24" borderId="13" xfId="0" applyNumberFormat="1" applyFill="1" applyBorder="1"/>
    <xf numFmtId="0" fontId="17" fillId="2" borderId="0" xfId="1" applyFont="1" applyFill="1" applyAlignment="1">
      <alignment horizontal="center" vertical="center"/>
    </xf>
    <xf numFmtId="0" fontId="0" fillId="75" borderId="0" xfId="0" applyFill="1"/>
    <xf numFmtId="0" fontId="11" fillId="0" borderId="6" xfId="0" applyFont="1" applyBorder="1" applyAlignment="1">
      <alignment horizontal="center"/>
    </xf>
    <xf numFmtId="1" fontId="21" fillId="0" borderId="8" xfId="0" applyNumberFormat="1" applyFont="1" applyBorder="1" applyAlignment="1">
      <alignment horizontal="center"/>
    </xf>
    <xf numFmtId="1" fontId="11" fillId="0" borderId="2" xfId="0" applyNumberFormat="1" applyFont="1" applyBorder="1" applyAlignment="1">
      <alignment horizontal="center"/>
    </xf>
    <xf numFmtId="11" fontId="0" fillId="0" borderId="0" xfId="0" applyNumberFormat="1"/>
    <xf numFmtId="0" fontId="14" fillId="0" borderId="25" xfId="0" applyFont="1" applyBorder="1" applyAlignment="1">
      <alignment horizontal="center"/>
    </xf>
    <xf numFmtId="165" fontId="0" fillId="0" borderId="25" xfId="0" applyNumberFormat="1" applyBorder="1" applyAlignment="1">
      <alignment horizontal="center"/>
    </xf>
    <xf numFmtId="0" fontId="0" fillId="0" borderId="26" xfId="0" applyBorder="1" applyAlignment="1">
      <alignment horizontal="center"/>
    </xf>
    <xf numFmtId="0" fontId="14" fillId="0" borderId="2" xfId="0" applyFont="1" applyBorder="1" applyAlignment="1">
      <alignment horizontal="center"/>
    </xf>
    <xf numFmtId="165" fontId="0" fillId="0" borderId="2" xfId="0" applyNumberFormat="1" applyBorder="1" applyAlignment="1">
      <alignment horizontal="center"/>
    </xf>
    <xf numFmtId="1" fontId="12" fillId="0" borderId="0" xfId="0" applyNumberFormat="1" applyFont="1" applyAlignment="1">
      <alignment horizontal="center"/>
    </xf>
    <xf numFmtId="2" fontId="72" fillId="0" borderId="0" xfId="1" applyNumberFormat="1" applyFont="1" applyAlignment="1">
      <alignment horizontal="center"/>
    </xf>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6" xfId="0" applyFont="1" applyBorder="1" applyAlignment="1">
      <alignment horizontal="center" vertical="top"/>
    </xf>
    <xf numFmtId="0" fontId="61" fillId="0" borderId="54" xfId="0" applyFont="1" applyBorder="1" applyAlignment="1">
      <alignment horizontal="center" vertical="top"/>
    </xf>
    <xf numFmtId="0" fontId="61" fillId="0" borderId="53" xfId="0" applyFont="1" applyBorder="1" applyAlignment="1">
      <alignment horizontal="center" vertical="top"/>
    </xf>
    <xf numFmtId="0" fontId="59" fillId="0" borderId="11" xfId="0" applyFont="1" applyBorder="1" applyAlignment="1">
      <alignment horizontal="right" vertical="top"/>
    </xf>
    <xf numFmtId="0" fontId="61" fillId="0" borderId="47" xfId="0" applyFont="1" applyBorder="1" applyAlignment="1">
      <alignment horizontal="center" vertical="top"/>
    </xf>
    <xf numFmtId="0" fontId="61" fillId="0" borderId="10" xfId="0" applyFont="1" applyBorder="1" applyAlignment="1">
      <alignment horizontal="center" vertical="top"/>
    </xf>
    <xf numFmtId="0" fontId="61" fillId="0" borderId="52" xfId="0" applyFont="1" applyBorder="1" applyAlignment="1">
      <alignment horizontal="center" vertical="top"/>
    </xf>
    <xf numFmtId="0" fontId="61" fillId="0" borderId="51" xfId="0" applyFont="1" applyBorder="1" applyAlignment="1">
      <alignment horizontal="right" vertical="center" wrapText="1"/>
    </xf>
    <xf numFmtId="0" fontId="59" fillId="0" borderId="34" xfId="0" applyFont="1" applyBorder="1" applyAlignment="1">
      <alignment horizontal="center" vertical="center" wrapText="1"/>
    </xf>
    <xf numFmtId="0" fontId="59" fillId="0" borderId="25" xfId="0" applyFont="1" applyBorder="1" applyAlignment="1">
      <alignment horizontal="center" vertical="center" wrapText="1"/>
    </xf>
    <xf numFmtId="0" fontId="74" fillId="0" borderId="26" xfId="0" applyFont="1" applyBorder="1" applyAlignment="1">
      <alignment horizontal="center" vertical="center" wrapText="1"/>
    </xf>
    <xf numFmtId="0" fontId="61" fillId="0" borderId="49" xfId="0" applyFont="1" applyBorder="1" applyAlignment="1">
      <alignment vertical="center"/>
    </xf>
    <xf numFmtId="0" fontId="59" fillId="0" borderId="48" xfId="0" applyFont="1" applyBorder="1" applyAlignment="1">
      <alignment horizontal="center" vertical="top" wrapText="1"/>
    </xf>
    <xf numFmtId="0" fontId="59" fillId="0" borderId="2" xfId="0" applyFont="1" applyBorder="1" applyAlignment="1">
      <alignment horizontal="center" vertical="top" wrapText="1"/>
    </xf>
    <xf numFmtId="0" fontId="74" fillId="0" borderId="40" xfId="0" applyFont="1" applyBorder="1" applyAlignment="1">
      <alignment horizontal="center" vertical="top" wrapText="1"/>
    </xf>
    <xf numFmtId="0" fontId="61" fillId="0" borderId="49" xfId="0" applyFont="1" applyBorder="1" applyAlignment="1">
      <alignment horizontal="right" vertical="center"/>
    </xf>
    <xf numFmtId="0" fontId="59" fillId="0" borderId="40"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50" xfId="0" applyFont="1" applyBorder="1" applyAlignment="1">
      <alignment horizontal="right" vertical="center"/>
    </xf>
    <xf numFmtId="0" fontId="59" fillId="0" borderId="39" xfId="0" applyFont="1" applyBorder="1" applyAlignment="1">
      <alignment horizontal="center" vertical="top" wrapText="1"/>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5" xfId="0" applyFont="1" applyBorder="1" applyAlignment="1">
      <alignment horizontal="center" vertical="top" wrapText="1"/>
    </xf>
    <xf numFmtId="0" fontId="59" fillId="0" borderId="48" xfId="0" applyFont="1" applyBorder="1" applyAlignment="1">
      <alignment horizontal="center" vertical="center" wrapText="1"/>
    </xf>
    <xf numFmtId="0" fontId="75"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0" fontId="34" fillId="7" borderId="2" xfId="0" applyFont="1" applyFill="1" applyBorder="1" applyAlignment="1">
      <alignment horizontal="center"/>
    </xf>
    <xf numFmtId="0" fontId="37" fillId="0" borderId="20" xfId="0" applyFont="1" applyBorder="1" applyAlignment="1">
      <alignment horizontal="left" wrapText="1"/>
    </xf>
    <xf numFmtId="0" fontId="0" fillId="0" borderId="2" xfId="0" applyBorder="1" applyAlignment="1">
      <alignment horizontal="center"/>
    </xf>
    <xf numFmtId="0" fontId="37" fillId="0" borderId="20" xfId="0" applyFont="1" applyBorder="1" applyAlignment="1">
      <alignment horizontal="left" vertical="center" wrapText="1"/>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59" fillId="0" borderId="4" xfId="0" applyFont="1" applyBorder="1" applyAlignment="1">
      <alignment horizontal="center"/>
    </xf>
    <xf numFmtId="0" fontId="0" fillId="72" borderId="24" xfId="0" applyFill="1" applyBorder="1" applyAlignment="1">
      <alignment wrapText="1"/>
    </xf>
    <xf numFmtId="0" fontId="0" fillId="72" borderId="17" xfId="0" applyFill="1" applyBorder="1" applyAlignment="1">
      <alignment wrapText="1"/>
    </xf>
    <xf numFmtId="0" fontId="0" fillId="72" borderId="1" xfId="0" applyFill="1" applyBorder="1" applyAlignment="1">
      <alignment wrapText="1"/>
    </xf>
    <xf numFmtId="0" fontId="0" fillId="72"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6"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81">
    <dxf>
      <font>
        <color rgb="FFFF0000"/>
      </font>
    </dxf>
    <dxf>
      <font>
        <color rgb="FFFF0000"/>
      </font>
    </dxf>
    <dxf>
      <fill>
        <patternFill>
          <bgColor rgb="FFFFBF00"/>
        </patternFill>
      </fill>
    </dxf>
    <dxf>
      <fill>
        <patternFill>
          <bgColor rgb="FFCCFFCC"/>
        </patternFill>
      </fill>
    </dxf>
    <dxf>
      <fill>
        <patternFill>
          <bgColor rgb="FFFFF2CC"/>
        </patternFill>
      </fill>
    </dxf>
    <dxf>
      <fill>
        <patternFill>
          <bgColor rgb="FFFFF2CC"/>
        </patternFill>
      </fill>
    </dxf>
    <dxf>
      <fill>
        <patternFill>
          <bgColor rgb="FFE0C2CD"/>
        </patternFill>
      </fill>
    </dxf>
    <dxf>
      <font>
        <strike/>
        <color theme="0"/>
      </font>
      <fill>
        <patternFill>
          <bgColor rgb="FFFF0000"/>
        </patternFill>
      </fill>
    </dxf>
    <dxf>
      <font>
        <strike/>
        <color theme="0"/>
      </font>
      <fill>
        <patternFill>
          <bgColor rgb="FFFF0000"/>
        </patternFill>
      </fill>
    </dxf>
    <dxf>
      <fill>
        <patternFill>
          <bgColor theme="9" tint="0.39994506668294322"/>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ill>
        <patternFill>
          <bgColor rgb="FFE0C2CD"/>
        </patternFill>
      </fill>
    </dxf>
    <dxf>
      <numFmt numFmtId="167" formatCode="0.0000"/>
      <fill>
        <patternFill>
          <bgColor rgb="FFFF8989"/>
        </patternFill>
      </fill>
    </dxf>
    <dxf>
      <font>
        <strike/>
        <color theme="0"/>
      </font>
      <fill>
        <patternFill>
          <bgColor rgb="FFFF0000"/>
        </patternFill>
      </fill>
    </dxf>
    <dxf>
      <fill>
        <patternFill>
          <bgColor rgb="FFFF6565"/>
        </patternFill>
      </fill>
    </dxf>
    <dxf>
      <fill>
        <patternFill>
          <bgColor theme="9" tint="0.3999450666829432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FF0000"/>
      <color rgb="FFC00000"/>
      <color rgb="FFCCFFCC"/>
      <color rgb="FFFFBF00"/>
      <color rgb="FFFFF2CC"/>
      <color rgb="FFFFFFFF"/>
      <color rgb="FFF8CBAD"/>
      <color rgb="FF26C50B"/>
      <color rgb="FFF4B084"/>
      <color rgb="FFCBA9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2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28575</xdr:rowOff>
        </xdr:from>
        <xdr:to>
          <xdr:col>0</xdr:col>
          <xdr:colOff>1704975</xdr:colOff>
          <xdr:row>4</xdr:row>
          <xdr:rowOff>9525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2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2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120810</xdr:colOff>
      <xdr:row>151</xdr:row>
      <xdr:rowOff>113850</xdr:rowOff>
    </xdr:from>
    <xdr:to>
      <xdr:col>19</xdr:col>
      <xdr:colOff>381135</xdr:colOff>
      <xdr:row>156</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151</xdr:row>
      <xdr:rowOff>133290</xdr:rowOff>
    </xdr:from>
    <xdr:to>
      <xdr:col>17</xdr:col>
      <xdr:colOff>133410</xdr:colOff>
      <xdr:row>151</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151</xdr:row>
      <xdr:rowOff>133290</xdr:rowOff>
    </xdr:from>
    <xdr:to>
      <xdr:col>17</xdr:col>
      <xdr:colOff>274890</xdr:colOff>
      <xdr:row>151</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151</xdr:row>
      <xdr:rowOff>87210</xdr:rowOff>
    </xdr:from>
    <xdr:to>
      <xdr:col>17</xdr:col>
      <xdr:colOff>286770</xdr:colOff>
      <xdr:row>151</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151</xdr:row>
      <xdr:rowOff>120690</xdr:rowOff>
    </xdr:from>
    <xdr:to>
      <xdr:col>17</xdr:col>
      <xdr:colOff>286410</xdr:colOff>
      <xdr:row>151</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154</xdr:row>
      <xdr:rowOff>85425</xdr:rowOff>
    </xdr:from>
    <xdr:to>
      <xdr:col>18</xdr:col>
      <xdr:colOff>183615</xdr:colOff>
      <xdr:row>156</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154</xdr:row>
      <xdr:rowOff>42818</xdr:rowOff>
    </xdr:from>
    <xdr:to>
      <xdr:col>14</xdr:col>
      <xdr:colOff>386213</xdr:colOff>
      <xdr:row>154</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154</xdr:row>
      <xdr:rowOff>33098</xdr:rowOff>
    </xdr:from>
    <xdr:to>
      <xdr:col>14</xdr:col>
      <xdr:colOff>438053</xdr:colOff>
      <xdr:row>154</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6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9525</xdr:rowOff>
        </xdr:from>
        <xdr:to>
          <xdr:col>0</xdr:col>
          <xdr:colOff>2133600</xdr:colOff>
          <xdr:row>2</xdr:row>
          <xdr:rowOff>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7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Click to add DLDV</a:t>
              </a:r>
            </a:p>
            <a:p>
              <a:pPr algn="ctr" rtl="0">
                <a:defRPr sz="1000"/>
              </a:pPr>
              <a:r>
                <a:rPr lang="en-US" sz="1100" b="0" i="0" u="none" strike="noStrike" baseline="0">
                  <a:solidFill>
                    <a:srgbClr val="000000"/>
                  </a:solidFill>
                  <a:latin typeface="Calibri"/>
                  <a:ea typeface="Calibri"/>
                  <a:cs typeface="Calibri"/>
                </a:rPr>
                <a:t>at Selection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8</xdr:row>
          <xdr:rowOff>9525</xdr:rowOff>
        </xdr:from>
        <xdr:to>
          <xdr:col>0</xdr:col>
          <xdr:colOff>2085975</xdr:colOff>
          <xdr:row>8</xdr:row>
          <xdr:rowOff>161925</xdr:rowOff>
        </xdr:to>
        <xdr:sp macro="" textlink="">
          <xdr:nvSpPr>
            <xdr:cNvPr id="98329" name="Button 25" hidden="1">
              <a:extLst>
                <a:ext uri="{63B3BB69-23CF-44E3-9099-C40C66FF867C}">
                  <a14:compatExt spid="_x0000_s98329"/>
                </a:ext>
                <a:ext uri="{FF2B5EF4-FFF2-40B4-BE49-F238E27FC236}">
                  <a16:creationId xmlns:a16="http://schemas.microsoft.com/office/drawing/2014/main" id="{00000000-0008-0000-0700-0000198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9</xdr:row>
          <xdr:rowOff>9525</xdr:rowOff>
        </xdr:from>
        <xdr:to>
          <xdr:col>0</xdr:col>
          <xdr:colOff>2085975</xdr:colOff>
          <xdr:row>9</xdr:row>
          <xdr:rowOff>161925</xdr:rowOff>
        </xdr:to>
        <xdr:sp macro="" textlink="">
          <xdr:nvSpPr>
            <xdr:cNvPr id="98330" name="Button 26" hidden="1">
              <a:extLst>
                <a:ext uri="{63B3BB69-23CF-44E3-9099-C40C66FF867C}">
                  <a14:compatExt spid="_x0000_s98330"/>
                </a:ext>
                <a:ext uri="{FF2B5EF4-FFF2-40B4-BE49-F238E27FC236}">
                  <a16:creationId xmlns:a16="http://schemas.microsoft.com/office/drawing/2014/main" id="{00000000-0008-0000-0700-00001A8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10</xdr:row>
          <xdr:rowOff>9525</xdr:rowOff>
        </xdr:from>
        <xdr:to>
          <xdr:col>0</xdr:col>
          <xdr:colOff>2085975</xdr:colOff>
          <xdr:row>10</xdr:row>
          <xdr:rowOff>161925</xdr:rowOff>
        </xdr:to>
        <xdr:sp macro="" textlink="">
          <xdr:nvSpPr>
            <xdr:cNvPr id="98331" name="Button 27" hidden="1">
              <a:extLst>
                <a:ext uri="{63B3BB69-23CF-44E3-9099-C40C66FF867C}">
                  <a14:compatExt spid="_x0000_s98331"/>
                </a:ext>
                <a:ext uri="{FF2B5EF4-FFF2-40B4-BE49-F238E27FC236}">
                  <a16:creationId xmlns:a16="http://schemas.microsoft.com/office/drawing/2014/main" id="{00000000-0008-0000-0700-00001B8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11</xdr:row>
          <xdr:rowOff>9525</xdr:rowOff>
        </xdr:from>
        <xdr:to>
          <xdr:col>0</xdr:col>
          <xdr:colOff>2095500</xdr:colOff>
          <xdr:row>11</xdr:row>
          <xdr:rowOff>161925</xdr:rowOff>
        </xdr:to>
        <xdr:sp macro="" textlink="">
          <xdr:nvSpPr>
            <xdr:cNvPr id="98332" name="Button 28" hidden="1">
              <a:extLst>
                <a:ext uri="{63B3BB69-23CF-44E3-9099-C40C66FF867C}">
                  <a14:compatExt spid="_x0000_s98332"/>
                </a:ext>
                <a:ext uri="{FF2B5EF4-FFF2-40B4-BE49-F238E27FC236}">
                  <a16:creationId xmlns:a16="http://schemas.microsoft.com/office/drawing/2014/main" id="{00000000-0008-0000-0700-00001C8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12</xdr:row>
          <xdr:rowOff>9525</xdr:rowOff>
        </xdr:from>
        <xdr:to>
          <xdr:col>0</xdr:col>
          <xdr:colOff>2085975</xdr:colOff>
          <xdr:row>12</xdr:row>
          <xdr:rowOff>161925</xdr:rowOff>
        </xdr:to>
        <xdr:sp macro="" textlink="">
          <xdr:nvSpPr>
            <xdr:cNvPr id="98333" name="Button 29" hidden="1">
              <a:extLst>
                <a:ext uri="{63B3BB69-23CF-44E3-9099-C40C66FF867C}">
                  <a14:compatExt spid="_x0000_s98333"/>
                </a:ext>
                <a:ext uri="{FF2B5EF4-FFF2-40B4-BE49-F238E27FC236}">
                  <a16:creationId xmlns:a16="http://schemas.microsoft.com/office/drawing/2014/main" id="{00000000-0008-0000-0700-00001D8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13</xdr:row>
          <xdr:rowOff>9525</xdr:rowOff>
        </xdr:from>
        <xdr:to>
          <xdr:col>0</xdr:col>
          <xdr:colOff>2085975</xdr:colOff>
          <xdr:row>13</xdr:row>
          <xdr:rowOff>161925</xdr:rowOff>
        </xdr:to>
        <xdr:sp macro="" textlink="">
          <xdr:nvSpPr>
            <xdr:cNvPr id="98334" name="Button 30" hidden="1">
              <a:extLst>
                <a:ext uri="{63B3BB69-23CF-44E3-9099-C40C66FF867C}">
                  <a14:compatExt spid="_x0000_s98334"/>
                </a:ext>
                <a:ext uri="{FF2B5EF4-FFF2-40B4-BE49-F238E27FC236}">
                  <a16:creationId xmlns:a16="http://schemas.microsoft.com/office/drawing/2014/main" id="{00000000-0008-0000-0700-00001E8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rian.carcich\Downloads\PEPSSI-Data-Volume-calculation_V36_btc024_demo.xlsm" TargetMode="External"/><Relationship Id="rId1" Type="http://schemas.openxmlformats.org/officeDocument/2006/relationships/externalLinkPath" Target="PEPSSI-Data-Volume-calculation_V36_btc024_dem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WAP Data Volumns"/>
      <sheetName val="2025_pb"/>
      <sheetName val="2025_pb_2"/>
      <sheetName val="btc_mods"/>
      <sheetName val="pep_ssf"/>
      <sheetName val="sclk_data"/>
      <sheetName val="_tl_template"/>
      <sheetName val="PEPSSI-Data-Volume-calculation_"/>
    </sheetNames>
    <definedNames>
      <definedName name="S_TriggerFormMacro.TriggerFormMacro"/>
    </definedNames>
    <sheetDataSet>
      <sheetData sheetId="0"/>
      <sheetData sheetId="1"/>
      <sheetData sheetId="2"/>
      <sheetData sheetId="3"/>
      <sheetData sheetId="4"/>
      <sheetData sheetId="5"/>
      <sheetData sheetId="6"/>
      <sheetData sheetId="7"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83" tableType="queryTable" totalsRowShown="0">
  <tableColumns count="59">
    <tableColumn id="3" xr3:uid="{2388C90F-2358-4631-83F5-0F5E6C4A0452}" uniqueName="3" name="CommandStr" queryTableFieldId="3" dataDxfId="80" dataCellStyle="Normal 5"/>
    <tableColumn id="4" xr3:uid="{E3799C3A-4B31-4D4E-8397-EE7909C117C2}" uniqueName="4" name="MET" queryTableFieldId="4" dataDxfId="79" dataCellStyle="Normal 5"/>
    <tableColumn id="5" xr3:uid="{DE120A99-B5F2-4B1A-A22E-A9BEEE9C55B0}" uniqueName="5" name="cmd" queryTableFieldId="5" dataDxfId="78" dataCellStyle="Normal 5"/>
    <tableColumn id="6" xr3:uid="{19AF7F27-0D9D-4BCE-A533-94878B619783}" uniqueName="6" name="arg" queryTableFieldId="6" dataDxfId="77" dataCellStyle="Normal 5"/>
    <tableColumn id="14" xr3:uid="{662EB3B0-32F5-402D-80A6-61D3564CADAD}" uniqueName="14" name="a" queryTableFieldId="14" dataDxfId="76" dataCellStyle="Normal 5"/>
    <tableColumn id="1" xr3:uid="{7CF75EA0-B63F-443B-B61A-2AE13C55F8DA}" uniqueName="1" name="MET→UTC" queryTableFieldId="68" dataDxfId="75" dataCellStyle="Normal 5">
      <calculatedColumnFormula array="1">MID(met2utc(PEPSSI_Commanding[[#This Row],[MET]]),3,15)</calculatedColumnFormula>
    </tableColumn>
    <tableColumn id="15" xr3:uid="{9C5328F3-FA02-47D1-83DC-B1DBCA9D89BA}" uniqueName="15" name="cmd+arg" queryTableFieldId="15" dataDxfId="74" dataCellStyle="Normal 5">
      <calculatedColumnFormula>_xlfn.TEXTJOIN("+",TRUE,$C14:$D14)</calculatedColumnFormula>
    </tableColumn>
    <tableColumn id="16" xr3:uid="{F4B97D7B-76B9-472C-BE55-DDF523C91B54}" uniqueName="16" name="Segment_x000a_MET Start" queryTableFieldId="16" dataDxfId="73" dataCellStyle="Normal 5">
      <calculatedColumnFormula>IF($C14="ON",$B14,IF(RIGHT($H13,9)="MET Start","",IF(AND($K14&lt;&gt;0,$K13=1),$B14,$H13)))</calculatedColumnFormula>
    </tableColumn>
    <tableColumn id="17" xr3:uid="{75D7A893-75C0-4A6D-8B25-0B595F60D7D7}" uniqueName="17" name="Segment_x000a_MET End" queryTableFieldId="17" dataDxfId="72" dataCellStyle="Normal 5">
      <calculatedColumnFormula>IF($C14="OFF",$B14,IF($B15="",$B14+31500000,IF($K14=1,$B15,I15)))</calculatedColumnFormula>
    </tableColumn>
    <tableColumn id="18" xr3:uid="{FE7FC58F-1F68-4601-9509-6833A5279466}" uniqueName="18" name="Offset_x000a_fr ON" queryTableFieldId="18" dataDxfId="71" dataCellStyle="Normal 5">
      <calculatedColumnFormula>IF($G14="ON",0,IF(OR(J13="",LEFT(J13,6)="Offset"),"",J13+1))</calculatedColumnFormula>
    </tableColumn>
    <tableColumn id="19" xr3:uid="{2E9987EA-D81C-4D54-957D-0506DB032AC5}" uniqueName="19" name="Offset_x000a_to End" queryTableFieldId="19" dataDxfId="70" dataCellStyle="Normal 5">
      <calculatedColumnFormula>IF($G14="OFF",0,IF(AND($J15&lt;&gt;0,$J14&lt;&gt;9,$G15&lt;&gt;"MAC+111",($B15-$B14)&lt;7200),K15+1,1))</calculatedColumnFormula>
    </tableColumn>
    <tableColumn id="20" xr3:uid="{462F98F8-6248-4D4E-8AD2-6EC7109B2E52}" uniqueName="20" name="b" queryTableFieldId="20" dataDxfId="69" dataCellStyle="Normal 5"/>
    <tableColumn id="21" xr3:uid="{0FBD6B38-B1E1-4E9C-81A5-CA14B2F9084A}" uniqueName="21" name="N1" queryTableFieldId="21" dataDxfId="68" dataCellStyle="Normal 5">
      <calculatedColumnFormula>IF($C14="ON","",IF($C14="N1",$D14,IF(M13="N1","",M13)))</calculatedColumnFormula>
    </tableColumn>
    <tableColumn id="22" xr3:uid="{A5045F8C-7AE0-4763-BBC4-A4CC8954069F}" uniqueName="22" name="N2" queryTableFieldId="22" dataDxfId="67" dataCellStyle="Normal 5">
      <calculatedColumnFormula>IF($C14="ON","",IF($C14="N2",$D14,IF($G14="MAC+103",3,IF($G14="MAC+104",2,IF(N13="N2","",N13)))))</calculatedColumnFormula>
    </tableColumn>
    <tableColumn id="23" xr3:uid="{9B014DB1-4E67-4325-A7FF-B51BB73C144C}" uniqueName="23" name="N3" queryTableFieldId="23" dataDxfId="66" dataCellStyle="Normal 5">
      <calculatedColumnFormula>IF($C14="ON","",IF($C14="N3",$D14,IF(O13="N3","",O13)))</calculatedColumnFormula>
    </tableColumn>
    <tableColumn id="24" xr3:uid="{5660ED6E-B39C-41E9-9202-1674D6671C41}" uniqueName="24" name="STAT" queryTableFieldId="24" dataDxfId="65" dataCellStyle="Normal 5">
      <calculatedColumnFormula>IF($C14="ON","",IF($C14="STAT",$D14,IF(P13="STAT","",P13)))</calculatedColumnFormula>
    </tableColumn>
    <tableColumn id="25" xr3:uid="{12FF0207-469E-4F94-A1F8-EBA478DE17D3}" uniqueName="25" name="N2 disabled" queryTableFieldId="25" dataDxfId="22"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23"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64" dataCellStyle="Normal 5">
      <calculatedColumnFormula>IF($C14="ON","",IF($G14="MAC+102","102",IF(RIGHT(S13,1)="?","",S13)))</calculatedColumnFormula>
    </tableColumn>
    <tableColumn id="28" xr3:uid="{EBBF58EA-A53F-4BBA-A5D0-7897A48C89F7}" uniqueName="28" name="c" queryTableFieldId="28" dataDxfId="63" dataCellStyle="Normal 5"/>
    <tableColumn id="29" xr3:uid="{3369BB1D-534B-4412-A3BF-FEC6F2C8BBA1}" uniqueName="29" name="TrgAssess_x000a_bit/s" queryTableFieldId="29" dataDxfId="62" dataCellStyle="Normal 5">
      <calculatedColumnFormula>IF(OR($N14="",$R14=""),0,U$1/64/$N14)</calculatedColumnFormula>
    </tableColumn>
    <tableColumn id="30" xr3:uid="{55B18AA0-1F9B-467A-B1E9-BA2EE8619FDC}" uniqueName="30" name="BRD_x000a_bit/s" queryTableFieldId="30" dataDxfId="61" dataCellStyle="Normal 5">
      <calculatedColumnFormula>IF(OR($N14="",$R14=""),0,V$1/64/$N14)</calculatedColumnFormula>
    </tableColumn>
    <tableColumn id="31" xr3:uid="{090EFE20-88EA-4674-BD37-BEF6B463F4DB}" uniqueName="31" name="STAT_x000a_bit/s" queryTableFieldId="31" dataDxfId="60" dataCellStyle="Normal 5">
      <calculatedColumnFormula>IF($P14="",0,W$1/$P14)</calculatedColumnFormula>
    </tableColumn>
    <tableColumn id="32" xr3:uid="{B18EAE2A-70E1-4898-A71B-5A3C36BF4EE0}" uniqueName="32" name="N1_x000a_bit/s" queryTableFieldId="32" dataDxfId="59" dataCellStyle="Normal 5">
      <calculatedColumnFormula>IF($M14="",0,X$1/$M14)</calculatedColumnFormula>
    </tableColumn>
    <tableColumn id="33" xr3:uid="{E4838A52-964A-4DE1-B5E0-0AE42E730F68}" uniqueName="33" name="N2_x000a_bit/s" queryTableFieldId="33" dataDxfId="58" dataCellStyle="Normal 5">
      <calculatedColumnFormula>IF(OR($N14="",$Q14&lt;&gt;""),0,Y$1/$N14)</calculatedColumnFormula>
    </tableColumn>
    <tableColumn id="34" xr3:uid="{FB6527D2-6F60-4531-AE7F-873F0C6AB8D6}" uniqueName="34" name="N2_x000a_bit/s2" queryTableFieldId="34" dataDxfId="57" dataCellStyle="Normal 5">
      <calculatedColumnFormula>IF($N14="",0,IF($R14="",1,R14/43200)*Y14)</calculatedColumnFormula>
    </tableColumn>
    <tableColumn id="35" xr3:uid="{9E653D53-4500-4832-A022-C911049DBBA5}" uniqueName="35" name="N3_x000a_bit/s" queryTableFieldId="35" dataDxfId="56" dataCellStyle="Normal 5">
      <calculatedColumnFormula>IF($O14="",0,AA$1/$O14)</calculatedColumnFormula>
    </tableColumn>
    <tableColumn id="36" xr3:uid="{8ED16EFB-45C9-4EDA-AF99-AA59788EFFC4}" uniqueName="36" name="d" queryTableFieldId="36" dataDxfId="55" dataCellStyle="Normal 5"/>
    <tableColumn id="37" xr3:uid="{84B53164-2455-4095-84F3-40F1C7BB6A8F}" uniqueName="37" name="DT1" queryTableFieldId="37" dataDxfId="54"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53"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52"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51"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50"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49"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48"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47"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46"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45"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44"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43"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42"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41"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40"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39"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38"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37"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36"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35"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34"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33"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32"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31"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30"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29"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28"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27"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26"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25"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24"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table" Target="../tables/table1.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ctrlProp" Target="../ctrlProps/ctrlProp7.xml"/><Relationship Id="rId7"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0.xml"/><Relationship Id="rId5" Type="http://schemas.openxmlformats.org/officeDocument/2006/relationships/ctrlProp" Target="../ctrlProps/ctrlProp9.xml"/><Relationship Id="rId10" Type="http://schemas.openxmlformats.org/officeDocument/2006/relationships/comments" Target="../comments1.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zoomScale="110" zoomScaleNormal="110" workbookViewId="0">
      <selection activeCell="I15" sqref="I15"/>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553" t="s">
        <v>891</v>
      </c>
      <c r="C25" s="553"/>
      <c r="D25" s="553"/>
      <c r="E25" s="553"/>
      <c r="F25" s="553"/>
      <c r="G25" s="553"/>
      <c r="H25" s="553"/>
      <c r="I25" s="553"/>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554" t="s">
        <v>901</v>
      </c>
      <c r="K30" s="554"/>
      <c r="L30" s="554"/>
      <c r="M30" s="554"/>
      <c r="N30" s="554"/>
    </row>
    <row r="31" spans="2:22">
      <c r="B31" s="143" t="s">
        <v>875</v>
      </c>
      <c r="C31" s="143" t="s">
        <v>876</v>
      </c>
      <c r="D31" s="143">
        <f>$E$8</f>
        <v>1632</v>
      </c>
      <c r="E31" s="143" t="s">
        <v>900</v>
      </c>
      <c r="F31" s="143">
        <v>0</v>
      </c>
      <c r="G31" s="143">
        <f>D31*F31</f>
        <v>0</v>
      </c>
      <c r="H31" s="143">
        <v>0</v>
      </c>
      <c r="I31" s="143">
        <f>G31*H31/1000000</f>
        <v>0</v>
      </c>
      <c r="J31" s="554"/>
      <c r="K31" s="554"/>
      <c r="L31" s="554"/>
      <c r="M31" s="554"/>
      <c r="N31" s="554"/>
    </row>
    <row r="32" spans="2:22" ht="15.75">
      <c r="B32" s="555"/>
      <c r="C32" s="555"/>
      <c r="D32" s="555"/>
      <c r="E32" s="555"/>
      <c r="F32" s="555"/>
      <c r="G32" s="555"/>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553" t="s">
        <v>903</v>
      </c>
      <c r="C38" s="553"/>
      <c r="D38" s="553"/>
      <c r="E38" s="553"/>
      <c r="F38" s="553"/>
      <c r="G38" s="553"/>
      <c r="H38" s="553"/>
      <c r="I38" s="553"/>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c r="L40" s="149"/>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556" t="s">
        <v>904</v>
      </c>
      <c r="K43" s="556"/>
      <c r="L43" s="556"/>
      <c r="M43" s="556"/>
      <c r="N43" s="556"/>
      <c r="O43" s="98"/>
    </row>
    <row r="44" spans="2:16">
      <c r="B44" s="143" t="s">
        <v>875</v>
      </c>
      <c r="C44" s="143" t="s">
        <v>876</v>
      </c>
      <c r="D44" s="143">
        <f>$E$8</f>
        <v>1632</v>
      </c>
      <c r="E44" s="143" t="s">
        <v>865</v>
      </c>
      <c r="F44" s="143">
        <f>$M$4*$F$8</f>
        <v>7.2916666666666659E-4</v>
      </c>
      <c r="G44" s="143">
        <f>D44*F44</f>
        <v>1.19</v>
      </c>
      <c r="H44" s="143">
        <v>86400</v>
      </c>
      <c r="I44" s="143">
        <f>G44*H44/1000000</f>
        <v>0.102816</v>
      </c>
      <c r="J44" s="556"/>
      <c r="K44" s="556"/>
      <c r="L44" s="556"/>
      <c r="M44" s="556"/>
      <c r="N44" s="556"/>
      <c r="O44" s="98"/>
    </row>
    <row r="45" spans="2:16">
      <c r="B45" s="555"/>
      <c r="C45" s="555"/>
      <c r="D45" s="555"/>
      <c r="E45" s="555"/>
      <c r="F45" s="555"/>
      <c r="G45" s="555"/>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53" t="s">
        <v>905</v>
      </c>
      <c r="C47" s="553"/>
      <c r="D47" s="553"/>
      <c r="E47" s="553"/>
      <c r="F47" s="553"/>
      <c r="G47" s="553"/>
      <c r="H47" s="553"/>
      <c r="I47" s="553"/>
      <c r="J47" s="151"/>
    </row>
    <row r="48" spans="2:16">
      <c r="B48" s="145"/>
      <c r="C48" s="146" t="s">
        <v>850</v>
      </c>
      <c r="D48" s="146" t="s">
        <v>892</v>
      </c>
      <c r="E48" s="146" t="s">
        <v>893</v>
      </c>
      <c r="F48" s="146" t="s">
        <v>894</v>
      </c>
      <c r="G48" s="146" t="s">
        <v>895</v>
      </c>
      <c r="H48" s="146" t="s">
        <v>896</v>
      </c>
      <c r="I48" s="146" t="s">
        <v>897</v>
      </c>
      <c r="J48" s="29"/>
    </row>
    <row r="49" spans="2:11">
      <c r="B49" s="143" t="s">
        <v>898</v>
      </c>
      <c r="C49" s="143" t="s">
        <v>860</v>
      </c>
      <c r="D49" s="143">
        <f>$E$3</f>
        <v>600</v>
      </c>
      <c r="E49" s="143" t="s">
        <v>878</v>
      </c>
      <c r="F49" s="143">
        <f>$I$9*$F$3</f>
        <v>2.7777777777777778E-4</v>
      </c>
      <c r="G49" s="143">
        <f>D49*F49</f>
        <v>0.16666666666666666</v>
      </c>
      <c r="H49" s="143">
        <v>86400</v>
      </c>
      <c r="I49" s="143">
        <f>G49*H49/1000000</f>
        <v>1.44E-2</v>
      </c>
    </row>
    <row r="50" spans="2:11">
      <c r="B50" s="143" t="s">
        <v>899</v>
      </c>
      <c r="C50" s="143" t="s">
        <v>867</v>
      </c>
      <c r="D50" s="143">
        <f>$E$5</f>
        <v>280</v>
      </c>
      <c r="E50" s="147" t="s">
        <v>883</v>
      </c>
      <c r="F50" s="143">
        <f>$M$14*$F$5</f>
        <v>0.5</v>
      </c>
      <c r="G50" s="143">
        <f>D50*F50</f>
        <v>140</v>
      </c>
      <c r="H50" s="143">
        <v>86400</v>
      </c>
      <c r="I50" s="143">
        <f>G50*H50/1000000</f>
        <v>12.096</v>
      </c>
    </row>
    <row r="51" spans="2:11">
      <c r="B51" s="143" t="s">
        <v>869</v>
      </c>
      <c r="C51" s="143" t="s">
        <v>870</v>
      </c>
      <c r="D51" s="143">
        <f>$E$6</f>
        <v>696</v>
      </c>
      <c r="E51" s="143" t="s">
        <v>878</v>
      </c>
      <c r="F51" s="143">
        <f>$M$9*$F$6</f>
        <v>2.7412280701754384E-4</v>
      </c>
      <c r="G51" s="143">
        <f>D51*F51</f>
        <v>0.19078947368421051</v>
      </c>
      <c r="H51" s="143">
        <v>86400</v>
      </c>
      <c r="I51" s="143">
        <f>G51*H51/1000000</f>
        <v>1.6484210526315785E-2</v>
      </c>
    </row>
    <row r="52" spans="2:11">
      <c r="B52" s="143" t="s">
        <v>872</v>
      </c>
      <c r="C52" s="143" t="s">
        <v>873</v>
      </c>
      <c r="D52" s="143">
        <f>$E$7</f>
        <v>1728</v>
      </c>
      <c r="E52" s="143" t="s">
        <v>865</v>
      </c>
      <c r="F52" s="143">
        <f>$M$4*$F$7</f>
        <v>1.1574074074074073E-5</v>
      </c>
      <c r="G52" s="143">
        <f>D52*F52</f>
        <v>0.02</v>
      </c>
      <c r="H52" s="143">
        <v>86400</v>
      </c>
      <c r="I52" s="143">
        <f>G52*H52/1000000</f>
        <v>1.7279999999999999E-3</v>
      </c>
    </row>
    <row r="53" spans="2:11">
      <c r="B53" s="143" t="s">
        <v>875</v>
      </c>
      <c r="C53" s="143" t="s">
        <v>876</v>
      </c>
      <c r="D53" s="143">
        <f>$E$8</f>
        <v>1632</v>
      </c>
      <c r="E53" s="143" t="s">
        <v>865</v>
      </c>
      <c r="F53" s="143">
        <f>$M$4*$F$8</f>
        <v>7.2916666666666659E-4</v>
      </c>
      <c r="G53" s="143">
        <f>D53*F53</f>
        <v>1.19</v>
      </c>
      <c r="H53" s="143">
        <v>86400</v>
      </c>
      <c r="I53" s="143">
        <f>G53*H53/1000000</f>
        <v>0.102816</v>
      </c>
    </row>
    <row r="54" spans="2:11">
      <c r="B54" s="555"/>
      <c r="C54" s="555"/>
      <c r="D54" s="555"/>
      <c r="E54" s="555"/>
      <c r="F54" s="555"/>
      <c r="G54" s="555"/>
      <c r="H54" s="147" t="s">
        <v>902</v>
      </c>
      <c r="I54" s="147">
        <f>SUM(I49:I53)</f>
        <v>12.231428210526317</v>
      </c>
      <c r="J54" s="17">
        <f>I54*1000000/86400</f>
        <v>141.56745614035088</v>
      </c>
      <c r="K54">
        <f>J54/8</f>
        <v>17.695932017543861</v>
      </c>
    </row>
    <row r="55" spans="2:11">
      <c r="I55" s="17"/>
      <c r="J55" s="3" t="s">
        <v>0</v>
      </c>
      <c r="K55" s="3" t="s">
        <v>1017</v>
      </c>
    </row>
    <row r="56" spans="2:11" ht="18.75">
      <c r="B56" s="553" t="s">
        <v>906</v>
      </c>
      <c r="C56" s="553"/>
      <c r="D56" s="553"/>
      <c r="E56" s="553"/>
      <c r="F56" s="553"/>
      <c r="G56" s="553"/>
      <c r="H56" s="553"/>
      <c r="I56" s="553"/>
      <c r="J56" s="151"/>
    </row>
    <row r="57" spans="2:11">
      <c r="B57" s="145"/>
      <c r="C57" s="146" t="s">
        <v>850</v>
      </c>
      <c r="D57" s="146" t="s">
        <v>892</v>
      </c>
      <c r="E57" s="146" t="s">
        <v>893</v>
      </c>
      <c r="F57" s="146" t="s">
        <v>894</v>
      </c>
      <c r="G57" s="146" t="s">
        <v>895</v>
      </c>
      <c r="H57" s="146" t="s">
        <v>896</v>
      </c>
      <c r="I57" s="146" t="s">
        <v>897</v>
      </c>
      <c r="J57" s="29"/>
    </row>
    <row r="58" spans="2:11">
      <c r="B58" s="143" t="s">
        <v>898</v>
      </c>
      <c r="C58" s="143" t="s">
        <v>860</v>
      </c>
      <c r="D58" s="143">
        <f>$E$3</f>
        <v>600</v>
      </c>
      <c r="E58" s="143" t="s">
        <v>878</v>
      </c>
      <c r="F58" s="143">
        <f>$I$9*$F$3</f>
        <v>2.7777777777777778E-4</v>
      </c>
      <c r="G58" s="143">
        <f>D58*F58</f>
        <v>0.16666666666666666</v>
      </c>
      <c r="H58" s="143">
        <v>86400</v>
      </c>
      <c r="I58" s="143">
        <f>G58*H58/1000000</f>
        <v>1.44E-2</v>
      </c>
    </row>
    <row r="59" spans="2:11">
      <c r="B59" s="143" t="s">
        <v>899</v>
      </c>
      <c r="C59" s="143" t="s">
        <v>867</v>
      </c>
      <c r="D59" s="143">
        <f>$E$5</f>
        <v>280</v>
      </c>
      <c r="E59" s="147" t="s">
        <v>882</v>
      </c>
      <c r="F59" s="143">
        <f>$M$13*$F$5</f>
        <v>0.2</v>
      </c>
      <c r="G59" s="143">
        <f>D59*F59</f>
        <v>56</v>
      </c>
      <c r="H59" s="143">
        <v>86400</v>
      </c>
      <c r="I59" s="143">
        <f>G59*H59/1000000</f>
        <v>4.8384</v>
      </c>
    </row>
    <row r="60" spans="2:11">
      <c r="B60" s="143" t="s">
        <v>869</v>
      </c>
      <c r="C60" s="143" t="s">
        <v>870</v>
      </c>
      <c r="D60" s="143">
        <f>$E$6</f>
        <v>696</v>
      </c>
      <c r="E60" s="143" t="s">
        <v>878</v>
      </c>
      <c r="F60" s="143">
        <f>$M$9*$F$6</f>
        <v>2.7412280701754384E-4</v>
      </c>
      <c r="G60" s="143">
        <f>D60*F60</f>
        <v>0.19078947368421051</v>
      </c>
      <c r="H60" s="143">
        <v>86400</v>
      </c>
      <c r="I60" s="143">
        <f>G60*H60/1000000</f>
        <v>1.6484210526315785E-2</v>
      </c>
    </row>
    <row r="61" spans="2:11">
      <c r="B61" s="143" t="s">
        <v>872</v>
      </c>
      <c r="C61" s="143" t="s">
        <v>873</v>
      </c>
      <c r="D61" s="143">
        <f>$E$7</f>
        <v>1728</v>
      </c>
      <c r="E61" s="143" t="s">
        <v>865</v>
      </c>
      <c r="F61" s="143">
        <f>$M$4*$F$7</f>
        <v>1.1574074074074073E-5</v>
      </c>
      <c r="G61" s="143">
        <f>D61*F61</f>
        <v>0.02</v>
      </c>
      <c r="H61" s="143">
        <v>86400</v>
      </c>
      <c r="I61" s="143">
        <f>G61*H61/1000000</f>
        <v>1.7279999999999999E-3</v>
      </c>
    </row>
    <row r="62" spans="2:11">
      <c r="B62" s="143" t="s">
        <v>875</v>
      </c>
      <c r="C62" s="143" t="s">
        <v>876</v>
      </c>
      <c r="D62" s="143">
        <f>$E$8</f>
        <v>1632</v>
      </c>
      <c r="E62" s="143" t="s">
        <v>865</v>
      </c>
      <c r="F62" s="143">
        <f>$M$4*$F$8</f>
        <v>7.2916666666666659E-4</v>
      </c>
      <c r="G62" s="143">
        <f>D62*F62</f>
        <v>1.19</v>
      </c>
      <c r="H62" s="143">
        <v>86400</v>
      </c>
      <c r="I62" s="143">
        <f>G62*H62/1000000</f>
        <v>0.102816</v>
      </c>
    </row>
    <row r="63" spans="2:11">
      <c r="B63" s="555"/>
      <c r="C63" s="555"/>
      <c r="D63" s="555"/>
      <c r="E63" s="555"/>
      <c r="F63" s="555"/>
      <c r="G63" s="555"/>
      <c r="H63" s="147" t="s">
        <v>902</v>
      </c>
      <c r="I63" s="147">
        <f>SUM(I58:I62)</f>
        <v>4.9738282105263156</v>
      </c>
      <c r="J63" s="17">
        <f>I63*1000000/86400</f>
        <v>57.56745614035087</v>
      </c>
      <c r="K63">
        <f>J63/8</f>
        <v>7.1959320175438588</v>
      </c>
    </row>
    <row r="64" spans="2:11">
      <c r="I64" s="17"/>
      <c r="J64" s="3" t="s">
        <v>0</v>
      </c>
      <c r="K64" s="3" t="s">
        <v>1017</v>
      </c>
    </row>
    <row r="65" spans="2:11" ht="18.75">
      <c r="B65" s="553" t="s">
        <v>907</v>
      </c>
      <c r="C65" s="553"/>
      <c r="D65" s="553"/>
      <c r="E65" s="553"/>
      <c r="F65" s="553"/>
      <c r="G65" s="553"/>
      <c r="H65" s="553"/>
      <c r="I65" s="553"/>
      <c r="J65" s="151"/>
    </row>
    <row r="66" spans="2:11">
      <c r="B66" s="145"/>
      <c r="C66" s="146" t="s">
        <v>850</v>
      </c>
      <c r="D66" s="146" t="s">
        <v>892</v>
      </c>
      <c r="E66" s="146" t="s">
        <v>893</v>
      </c>
      <c r="F66" s="146" t="s">
        <v>894</v>
      </c>
      <c r="G66" s="146" t="s">
        <v>895</v>
      </c>
      <c r="H66" s="146" t="s">
        <v>896</v>
      </c>
      <c r="I66" s="146" t="s">
        <v>897</v>
      </c>
      <c r="J66" s="29"/>
    </row>
    <row r="67" spans="2:11">
      <c r="B67" s="143" t="s">
        <v>898</v>
      </c>
      <c r="C67" s="143" t="s">
        <v>860</v>
      </c>
      <c r="D67" s="143">
        <f>$E$3</f>
        <v>600</v>
      </c>
      <c r="E67" s="143" t="s">
        <v>878</v>
      </c>
      <c r="F67" s="143">
        <f>$I$9*$F$3</f>
        <v>2.7777777777777778E-4</v>
      </c>
      <c r="G67" s="143">
        <f>D67*F67</f>
        <v>0.16666666666666666</v>
      </c>
      <c r="H67" s="143">
        <v>86400</v>
      </c>
      <c r="I67" s="143">
        <f>G67*H67/1000000</f>
        <v>1.44E-2</v>
      </c>
    </row>
    <row r="68" spans="2:11">
      <c r="B68" s="143" t="s">
        <v>899</v>
      </c>
      <c r="C68" s="143" t="s">
        <v>867</v>
      </c>
      <c r="D68" s="143">
        <f>$E$5</f>
        <v>280</v>
      </c>
      <c r="E68" s="147" t="s">
        <v>881</v>
      </c>
      <c r="F68" s="143">
        <f>$M$12*$F$5</f>
        <v>0.1</v>
      </c>
      <c r="G68" s="143">
        <f>D68*F68</f>
        <v>28</v>
      </c>
      <c r="H68" s="143">
        <v>86400</v>
      </c>
      <c r="I68" s="143">
        <f>G68*H68/1000000</f>
        <v>2.4192</v>
      </c>
    </row>
    <row r="69" spans="2:11">
      <c r="B69" s="143" t="s">
        <v>869</v>
      </c>
      <c r="C69" s="143" t="s">
        <v>870</v>
      </c>
      <c r="D69" s="143">
        <f>$E$6</f>
        <v>696</v>
      </c>
      <c r="E69" s="143" t="s">
        <v>878</v>
      </c>
      <c r="F69" s="143">
        <f>$M$9*$F$6</f>
        <v>2.7412280701754384E-4</v>
      </c>
      <c r="G69" s="143">
        <f>D69*F69</f>
        <v>0.19078947368421051</v>
      </c>
      <c r="H69" s="143">
        <v>86400</v>
      </c>
      <c r="I69" s="143">
        <f>G69*H69/1000000</f>
        <v>1.6484210526315785E-2</v>
      </c>
    </row>
    <row r="70" spans="2:11">
      <c r="B70" s="143" t="s">
        <v>872</v>
      </c>
      <c r="C70" s="143" t="s">
        <v>873</v>
      </c>
      <c r="D70" s="143">
        <f>$E$7</f>
        <v>1728</v>
      </c>
      <c r="E70" s="143" t="s">
        <v>865</v>
      </c>
      <c r="F70" s="143">
        <f>$M$4*$F$7</f>
        <v>1.1574074074074073E-5</v>
      </c>
      <c r="G70" s="143">
        <f>D70*F70</f>
        <v>0.02</v>
      </c>
      <c r="H70" s="143">
        <v>86400</v>
      </c>
      <c r="I70" s="143">
        <f>G70*H70/1000000</f>
        <v>1.7279999999999999E-3</v>
      </c>
    </row>
    <row r="71" spans="2:11">
      <c r="B71" s="143" t="s">
        <v>875</v>
      </c>
      <c r="C71" s="143" t="s">
        <v>876</v>
      </c>
      <c r="D71" s="143">
        <f>$E$8</f>
        <v>1632</v>
      </c>
      <c r="E71" s="143" t="s">
        <v>865</v>
      </c>
      <c r="F71" s="143">
        <f>$M$4*$F$8</f>
        <v>7.2916666666666659E-4</v>
      </c>
      <c r="G71" s="143">
        <f>D71*F71</f>
        <v>1.19</v>
      </c>
      <c r="H71" s="143">
        <v>86400</v>
      </c>
      <c r="I71" s="143">
        <f>G71*H71/1000000</f>
        <v>0.102816</v>
      </c>
      <c r="K71" t="s">
        <v>1018</v>
      </c>
    </row>
    <row r="72" spans="2:11">
      <c r="B72" s="555"/>
      <c r="C72" s="555"/>
      <c r="D72" s="555"/>
      <c r="E72" s="555"/>
      <c r="F72" s="555"/>
      <c r="G72" s="555"/>
      <c r="H72" s="147" t="s">
        <v>902</v>
      </c>
      <c r="I72" s="147">
        <f>SUM(I67:I71)</f>
        <v>2.5546282105263156</v>
      </c>
      <c r="J72" s="17">
        <f>I72*1000000/86400</f>
        <v>29.567456140350874</v>
      </c>
      <c r="K72" s="176">
        <f>J72/8</f>
        <v>3.6959320175438592</v>
      </c>
    </row>
    <row r="73" spans="2:11">
      <c r="J73" s="3" t="s">
        <v>0</v>
      </c>
      <c r="K73" s="3" t="s">
        <v>1017</v>
      </c>
    </row>
    <row r="74" spans="2:11" ht="18.75">
      <c r="B74" s="553" t="s">
        <v>908</v>
      </c>
      <c r="C74" s="553"/>
      <c r="D74" s="553"/>
      <c r="E74" s="553"/>
      <c r="F74" s="553"/>
      <c r="G74" s="553"/>
      <c r="H74" s="553"/>
      <c r="I74" s="553"/>
      <c r="J74" s="151"/>
    </row>
    <row r="75" spans="2:11">
      <c r="B75" s="145"/>
      <c r="C75" s="146" t="s">
        <v>850</v>
      </c>
      <c r="D75" s="146" t="s">
        <v>892</v>
      </c>
      <c r="E75" s="146" t="s">
        <v>893</v>
      </c>
      <c r="F75" s="146" t="s">
        <v>894</v>
      </c>
      <c r="G75" s="146" t="s">
        <v>895</v>
      </c>
      <c r="H75" s="146" t="s">
        <v>896</v>
      </c>
      <c r="I75" s="146" t="s">
        <v>897</v>
      </c>
      <c r="J75" s="29"/>
    </row>
    <row r="76" spans="2:11">
      <c r="B76" s="143" t="s">
        <v>898</v>
      </c>
      <c r="C76" s="143" t="s">
        <v>860</v>
      </c>
      <c r="D76" s="143">
        <f>$E$3</f>
        <v>600</v>
      </c>
      <c r="E76" s="143" t="s">
        <v>878</v>
      </c>
      <c r="F76" s="143">
        <f>$I$9*$F$3</f>
        <v>2.7777777777777778E-4</v>
      </c>
      <c r="G76" s="143">
        <f>D76*F76</f>
        <v>0.16666666666666666</v>
      </c>
      <c r="H76" s="143">
        <v>86400</v>
      </c>
      <c r="I76" s="143">
        <f>G76*H76/1000000</f>
        <v>1.44E-2</v>
      </c>
    </row>
    <row r="77" spans="2:11">
      <c r="B77" s="143" t="s">
        <v>899</v>
      </c>
      <c r="C77" s="143" t="s">
        <v>867</v>
      </c>
      <c r="D77" s="143">
        <f>$E$5</f>
        <v>280</v>
      </c>
      <c r="E77" s="147" t="s">
        <v>880</v>
      </c>
      <c r="F77" s="143">
        <f>$M$11*$F$5</f>
        <v>0.05</v>
      </c>
      <c r="G77" s="143">
        <f>D77*F77</f>
        <v>14</v>
      </c>
      <c r="H77" s="143">
        <v>86400</v>
      </c>
      <c r="I77" s="143">
        <f>G77*H77/1000000</f>
        <v>1.2096</v>
      </c>
    </row>
    <row r="78" spans="2:11">
      <c r="B78" s="143" t="s">
        <v>869</v>
      </c>
      <c r="C78" s="143" t="s">
        <v>870</v>
      </c>
      <c r="D78" s="143">
        <f>$E$6</f>
        <v>696</v>
      </c>
      <c r="E78" s="143" t="s">
        <v>878</v>
      </c>
      <c r="F78" s="143">
        <f>$M$9*$F$6</f>
        <v>2.7412280701754384E-4</v>
      </c>
      <c r="G78" s="143">
        <f>D78*F78</f>
        <v>0.19078947368421051</v>
      </c>
      <c r="H78" s="143">
        <v>86400</v>
      </c>
      <c r="I78" s="143">
        <f>G78*H78/1000000</f>
        <v>1.6484210526315785E-2</v>
      </c>
    </row>
    <row r="79" spans="2:11">
      <c r="B79" s="143" t="s">
        <v>872</v>
      </c>
      <c r="C79" s="143" t="s">
        <v>873</v>
      </c>
      <c r="D79" s="143">
        <f>$E$7</f>
        <v>1728</v>
      </c>
      <c r="E79" s="143" t="s">
        <v>865</v>
      </c>
      <c r="F79" s="143">
        <f>$M$4*$F$7</f>
        <v>1.1574074074074073E-5</v>
      </c>
      <c r="G79" s="143">
        <f>D79*F79</f>
        <v>0.02</v>
      </c>
      <c r="H79" s="143">
        <v>86400</v>
      </c>
      <c r="I79" s="143">
        <f>G79*H79/1000000</f>
        <v>1.7279999999999999E-3</v>
      </c>
    </row>
    <row r="80" spans="2:11">
      <c r="B80" s="143" t="s">
        <v>875</v>
      </c>
      <c r="C80" s="143" t="s">
        <v>876</v>
      </c>
      <c r="D80" s="143">
        <f>$E$8</f>
        <v>1632</v>
      </c>
      <c r="E80" s="143" t="s">
        <v>865</v>
      </c>
      <c r="F80" s="143">
        <f>$M$4*$F$8</f>
        <v>7.2916666666666659E-4</v>
      </c>
      <c r="G80" s="143">
        <f>D80*F80</f>
        <v>1.19</v>
      </c>
      <c r="H80" s="143">
        <v>86400</v>
      </c>
      <c r="I80" s="143">
        <f>G80*H80/1000000</f>
        <v>0.102816</v>
      </c>
    </row>
    <row r="81" spans="2:11">
      <c r="B81" s="555"/>
      <c r="C81" s="555"/>
      <c r="D81" s="555"/>
      <c r="E81" s="555"/>
      <c r="F81" s="555"/>
      <c r="G81" s="555"/>
      <c r="H81" s="147" t="s">
        <v>902</v>
      </c>
      <c r="I81" s="147">
        <f>SUM(I76:I80)</f>
        <v>1.3450282105263158</v>
      </c>
      <c r="J81" s="17">
        <f>I81*1000000/86400</f>
        <v>15.567456140350876</v>
      </c>
      <c r="K81">
        <f>J81/8</f>
        <v>1.9459320175438595</v>
      </c>
    </row>
    <row r="82" spans="2:11">
      <c r="I82" s="17"/>
      <c r="J82" s="3" t="s">
        <v>0</v>
      </c>
      <c r="K82" s="3" t="s">
        <v>1017</v>
      </c>
    </row>
    <row r="83" spans="2:11" ht="18.75">
      <c r="B83" s="553" t="s">
        <v>909</v>
      </c>
      <c r="C83" s="553"/>
      <c r="D83" s="553"/>
      <c r="E83" s="553"/>
      <c r="F83" s="553"/>
      <c r="G83" s="553"/>
      <c r="H83" s="553"/>
      <c r="I83" s="553"/>
      <c r="J83" s="151"/>
    </row>
    <row r="84" spans="2:11">
      <c r="B84" s="145"/>
      <c r="C84" s="146" t="s">
        <v>850</v>
      </c>
      <c r="D84" s="146" t="s">
        <v>892</v>
      </c>
      <c r="E84" s="146" t="s">
        <v>893</v>
      </c>
      <c r="F84" s="146" t="s">
        <v>894</v>
      </c>
      <c r="G84" s="146" t="s">
        <v>895</v>
      </c>
      <c r="H84" s="146" t="s">
        <v>896</v>
      </c>
      <c r="I84" s="146" t="s">
        <v>897</v>
      </c>
      <c r="J84" s="29"/>
    </row>
    <row r="85" spans="2:11">
      <c r="B85" s="143" t="s">
        <v>898</v>
      </c>
      <c r="C85" s="143" t="s">
        <v>860</v>
      </c>
      <c r="D85" s="143">
        <f>$E$3</f>
        <v>600</v>
      </c>
      <c r="E85" s="143" t="s">
        <v>878</v>
      </c>
      <c r="F85" s="143">
        <f>$I$9*$F$3</f>
        <v>2.7777777777777778E-4</v>
      </c>
      <c r="G85" s="143">
        <f>D85*F85</f>
        <v>0.16666666666666666</v>
      </c>
      <c r="H85" s="143">
        <v>86400</v>
      </c>
      <c r="I85" s="143">
        <f>G85*H85/1000000</f>
        <v>1.44E-2</v>
      </c>
    </row>
    <row r="86" spans="2:11">
      <c r="B86" s="143" t="s">
        <v>899</v>
      </c>
      <c r="C86" s="143" t="s">
        <v>867</v>
      </c>
      <c r="D86" s="143">
        <f>$E$5</f>
        <v>280</v>
      </c>
      <c r="E86" s="147" t="s">
        <v>879</v>
      </c>
      <c r="F86" s="143">
        <f>$M$10*$F$5</f>
        <v>3.4482758620689655E-2</v>
      </c>
      <c r="G86" s="143">
        <f>D86*F86</f>
        <v>9.6551724137931032</v>
      </c>
      <c r="H86" s="143">
        <v>86400</v>
      </c>
      <c r="I86" s="143">
        <f>G86*H86/1000000</f>
        <v>0.8342068965517242</v>
      </c>
    </row>
    <row r="87" spans="2:11">
      <c r="B87" s="143" t="s">
        <v>869</v>
      </c>
      <c r="C87" s="143" t="s">
        <v>870</v>
      </c>
      <c r="D87" s="143">
        <f>$E$6</f>
        <v>696</v>
      </c>
      <c r="E87" s="143" t="s">
        <v>878</v>
      </c>
      <c r="F87" s="143">
        <f>$M$9*$F$6</f>
        <v>2.7412280701754384E-4</v>
      </c>
      <c r="G87" s="143">
        <f>D87*F87</f>
        <v>0.19078947368421051</v>
      </c>
      <c r="H87" s="143">
        <v>86400</v>
      </c>
      <c r="I87" s="143">
        <f>G87*H87/1000000</f>
        <v>1.6484210526315785E-2</v>
      </c>
    </row>
    <row r="88" spans="2:11">
      <c r="B88" s="143" t="s">
        <v>872</v>
      </c>
      <c r="C88" s="143" t="s">
        <v>873</v>
      </c>
      <c r="D88" s="143">
        <f>$E$7</f>
        <v>1728</v>
      </c>
      <c r="E88" s="143" t="s">
        <v>865</v>
      </c>
      <c r="F88" s="143">
        <f>$M$4*$F$7</f>
        <v>1.1574074074074073E-5</v>
      </c>
      <c r="G88" s="143">
        <f>D88*F88</f>
        <v>0.02</v>
      </c>
      <c r="H88" s="143">
        <v>86400</v>
      </c>
      <c r="I88" s="143">
        <f>G88*H88/1000000</f>
        <v>1.7279999999999999E-3</v>
      </c>
    </row>
    <row r="89" spans="2:11">
      <c r="B89" s="143" t="s">
        <v>875</v>
      </c>
      <c r="C89" s="143" t="s">
        <v>876</v>
      </c>
      <c r="D89" s="143">
        <f>$E$8</f>
        <v>1632</v>
      </c>
      <c r="E89" s="143" t="s">
        <v>865</v>
      </c>
      <c r="F89" s="143">
        <f>$M$4*$F$8</f>
        <v>7.2916666666666659E-4</v>
      </c>
      <c r="G89" s="143">
        <f>D89*F89</f>
        <v>1.19</v>
      </c>
      <c r="H89" s="143">
        <v>86400</v>
      </c>
      <c r="I89" s="143">
        <f>G89*H89/1000000</f>
        <v>0.102816</v>
      </c>
    </row>
    <row r="90" spans="2:11">
      <c r="B90" s="143"/>
      <c r="C90" s="143"/>
      <c r="D90" s="143"/>
      <c r="E90" s="143"/>
      <c r="F90" s="143"/>
      <c r="G90" s="143"/>
      <c r="H90" s="147" t="s">
        <v>902</v>
      </c>
      <c r="I90" s="147">
        <f>SUM(I85:I89)</f>
        <v>0.9696351070780399</v>
      </c>
      <c r="J90" s="17">
        <f>I90*1000000/86400</f>
        <v>11.222628554143981</v>
      </c>
      <c r="K90">
        <f>J90/8</f>
        <v>1.4028285692679976</v>
      </c>
    </row>
    <row r="91" spans="2:11" ht="15" customHeight="1">
      <c r="J91" s="3" t="s">
        <v>0</v>
      </c>
      <c r="K91" s="3" t="s">
        <v>1017</v>
      </c>
    </row>
    <row r="92" spans="2:11" ht="18.75">
      <c r="B92" s="553" t="s">
        <v>910</v>
      </c>
      <c r="C92" s="553"/>
      <c r="D92" s="553"/>
      <c r="E92" s="553"/>
      <c r="F92" s="553"/>
      <c r="G92" s="553"/>
      <c r="H92" s="553"/>
      <c r="I92" s="553"/>
      <c r="J92" s="151"/>
    </row>
    <row r="93" spans="2:11">
      <c r="B93" s="145"/>
      <c r="C93" s="146" t="s">
        <v>850</v>
      </c>
      <c r="D93" s="146" t="s">
        <v>892</v>
      </c>
      <c r="E93" s="146" t="s">
        <v>893</v>
      </c>
      <c r="F93" s="146" t="s">
        <v>894</v>
      </c>
      <c r="G93" s="146" t="s">
        <v>895</v>
      </c>
      <c r="H93" s="146" t="s">
        <v>896</v>
      </c>
      <c r="I93" s="146" t="s">
        <v>897</v>
      </c>
      <c r="J93" s="29"/>
    </row>
    <row r="94" spans="2:11">
      <c r="B94" s="143" t="s">
        <v>898</v>
      </c>
      <c r="C94" s="143" t="s">
        <v>860</v>
      </c>
      <c r="D94" s="143">
        <f>$E$3</f>
        <v>600</v>
      </c>
      <c r="E94" s="143" t="s">
        <v>878</v>
      </c>
      <c r="F94" s="143">
        <f>$I$9*$F$3</f>
        <v>2.7777777777777778E-4</v>
      </c>
      <c r="G94" s="143">
        <f>D94*F94</f>
        <v>0.16666666666666666</v>
      </c>
      <c r="H94" s="143">
        <v>86400</v>
      </c>
      <c r="I94" s="143">
        <f>G94*H94/1000000</f>
        <v>1.44E-2</v>
      </c>
    </row>
    <row r="95" spans="2:11">
      <c r="B95" s="143" t="s">
        <v>899</v>
      </c>
      <c r="C95" s="143" t="s">
        <v>867</v>
      </c>
      <c r="D95" s="143">
        <f>$E$5</f>
        <v>280</v>
      </c>
      <c r="E95" s="152" t="s">
        <v>878</v>
      </c>
      <c r="F95" s="143">
        <f>$M$9*$F$5</f>
        <v>1.7543859649122806E-2</v>
      </c>
      <c r="G95" s="143">
        <f>D95*F95</f>
        <v>4.9122807017543852</v>
      </c>
      <c r="H95" s="143">
        <v>86400</v>
      </c>
      <c r="I95" s="143">
        <f>G95*H95/1000000</f>
        <v>0.42442105263157887</v>
      </c>
    </row>
    <row r="96" spans="2:11">
      <c r="B96" s="143" t="s">
        <v>869</v>
      </c>
      <c r="C96" s="143" t="s">
        <v>870</v>
      </c>
      <c r="D96" s="143">
        <f>$E$6</f>
        <v>696</v>
      </c>
      <c r="E96" s="143" t="s">
        <v>878</v>
      </c>
      <c r="F96" s="143">
        <f>$M$9*$F$6</f>
        <v>2.7412280701754384E-4</v>
      </c>
      <c r="G96" s="143">
        <f>D96*F96</f>
        <v>0.19078947368421051</v>
      </c>
      <c r="H96" s="143">
        <v>86400</v>
      </c>
      <c r="I96" s="143">
        <f>G96*H96/1000000</f>
        <v>1.6484210526315785E-2</v>
      </c>
    </row>
    <row r="97" spans="2:11">
      <c r="B97" s="143" t="s">
        <v>872</v>
      </c>
      <c r="C97" s="143" t="s">
        <v>873</v>
      </c>
      <c r="D97" s="143">
        <f>$E$7</f>
        <v>1728</v>
      </c>
      <c r="E97" s="143" t="s">
        <v>865</v>
      </c>
      <c r="F97" s="143">
        <f>$M$4*$F$7</f>
        <v>1.1574074074074073E-5</v>
      </c>
      <c r="G97" s="143">
        <f>D97*F97</f>
        <v>0.02</v>
      </c>
      <c r="H97" s="143">
        <v>86400</v>
      </c>
      <c r="I97" s="143">
        <f>G97*H97/1000000</f>
        <v>1.7279999999999999E-3</v>
      </c>
    </row>
    <row r="98" spans="2:11">
      <c r="B98" s="143" t="s">
        <v>875</v>
      </c>
      <c r="C98" s="143" t="s">
        <v>876</v>
      </c>
      <c r="D98" s="143">
        <f>$E$8</f>
        <v>1632</v>
      </c>
      <c r="E98" s="143" t="s">
        <v>865</v>
      </c>
      <c r="F98" s="143">
        <f>$M$4*$F$8</f>
        <v>7.2916666666666659E-4</v>
      </c>
      <c r="G98" s="143">
        <f>D98*F98</f>
        <v>1.19</v>
      </c>
      <c r="H98" s="143">
        <v>86400</v>
      </c>
      <c r="I98" s="143">
        <f>G98*H98/1000000</f>
        <v>0.102816</v>
      </c>
    </row>
    <row r="99" spans="2:11">
      <c r="B99" s="555"/>
      <c r="C99" s="555"/>
      <c r="D99" s="555"/>
      <c r="E99" s="555"/>
      <c r="F99" s="555"/>
      <c r="G99" s="555"/>
      <c r="H99" s="147" t="s">
        <v>902</v>
      </c>
      <c r="I99" s="147">
        <f>SUM(I94:I98)</f>
        <v>0.55984926315789463</v>
      </c>
      <c r="J99" s="17">
        <f>I99*1000000/86400</f>
        <v>6.4797368421052619</v>
      </c>
      <c r="K99">
        <f>J99/8</f>
        <v>0.80996710526315774</v>
      </c>
    </row>
    <row r="100" spans="2:11" ht="15" customHeight="1">
      <c r="J100" s="3" t="s">
        <v>0</v>
      </c>
      <c r="K100" s="3" t="s">
        <v>1017</v>
      </c>
    </row>
    <row r="101" spans="2:11" ht="18.75">
      <c r="B101" s="553" t="s">
        <v>911</v>
      </c>
      <c r="C101" s="553"/>
      <c r="D101" s="553"/>
      <c r="E101" s="553"/>
      <c r="F101" s="553"/>
      <c r="G101" s="553"/>
      <c r="H101" s="553"/>
      <c r="I101" s="553"/>
      <c r="J101" s="151"/>
    </row>
    <row r="102" spans="2:11">
      <c r="B102" s="145"/>
      <c r="C102" s="146" t="s">
        <v>850</v>
      </c>
      <c r="D102" s="146" t="s">
        <v>892</v>
      </c>
      <c r="E102" s="146" t="s">
        <v>893</v>
      </c>
      <c r="F102" s="146" t="s">
        <v>894</v>
      </c>
      <c r="G102" s="146" t="s">
        <v>895</v>
      </c>
      <c r="H102" s="146" t="s">
        <v>896</v>
      </c>
      <c r="I102" s="146" t="s">
        <v>897</v>
      </c>
      <c r="J102" s="29"/>
    </row>
    <row r="103" spans="2:11">
      <c r="B103" s="143" t="s">
        <v>898</v>
      </c>
      <c r="C103" s="143" t="s">
        <v>860</v>
      </c>
      <c r="D103" s="143">
        <f>$E$3</f>
        <v>600</v>
      </c>
      <c r="E103" s="143" t="s">
        <v>878</v>
      </c>
      <c r="F103" s="143">
        <f>$I$9*$F$3</f>
        <v>2.7777777777777778E-4</v>
      </c>
      <c r="G103" s="143">
        <f>D103*F103</f>
        <v>0.16666666666666666</v>
      </c>
      <c r="H103" s="143">
        <v>86400</v>
      </c>
      <c r="I103" s="143">
        <f>G103*H103/1000000</f>
        <v>1.44E-2</v>
      </c>
    </row>
    <row r="104" spans="2:11">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1">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1">
      <c r="B106" s="143" t="s">
        <v>872</v>
      </c>
      <c r="C106" s="143" t="s">
        <v>873</v>
      </c>
      <c r="D106" s="143">
        <f>$E$7</f>
        <v>1728</v>
      </c>
      <c r="E106" s="143" t="s">
        <v>865</v>
      </c>
      <c r="F106" s="143">
        <f>$M$4*$F$7</f>
        <v>1.1574074074074073E-5</v>
      </c>
      <c r="G106" s="143">
        <f>D106*F106</f>
        <v>0.02</v>
      </c>
      <c r="H106" s="143">
        <v>86400</v>
      </c>
      <c r="I106" s="143">
        <f>G106*H106/1000000</f>
        <v>1.7279999999999999E-3</v>
      </c>
    </row>
    <row r="107" spans="2:11">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1">
      <c r="B108" s="555"/>
      <c r="C108" s="555"/>
      <c r="D108" s="555"/>
      <c r="E108" s="555"/>
      <c r="F108" s="555"/>
      <c r="G108" s="555"/>
      <c r="H108" s="147" t="s">
        <v>902</v>
      </c>
      <c r="I108" s="147">
        <f>SUM(I103:I107)</f>
        <v>0.34951670610153701</v>
      </c>
      <c r="J108" s="17">
        <f>I108*1000000/86400</f>
        <v>4.0453322465455672</v>
      </c>
      <c r="K108" s="176">
        <f>J108/8</f>
        <v>0.5056665308181959</v>
      </c>
    </row>
    <row r="109" spans="2:11" ht="15" customHeight="1">
      <c r="J109" s="3" t="s">
        <v>0</v>
      </c>
      <c r="K109" s="3" t="s">
        <v>1017</v>
      </c>
    </row>
    <row r="110" spans="2:11" ht="18.75">
      <c r="B110" s="553" t="s">
        <v>912</v>
      </c>
      <c r="C110" s="553"/>
      <c r="D110" s="553"/>
      <c r="E110" s="553"/>
      <c r="F110" s="553"/>
      <c r="G110" s="553"/>
      <c r="H110" s="553"/>
      <c r="I110" s="553"/>
      <c r="J110" s="151"/>
    </row>
    <row r="111" spans="2:11">
      <c r="B111" s="145"/>
      <c r="C111" s="146" t="s">
        <v>850</v>
      </c>
      <c r="D111" s="146" t="s">
        <v>892</v>
      </c>
      <c r="E111" s="146" t="s">
        <v>893</v>
      </c>
      <c r="F111" s="146" t="s">
        <v>894</v>
      </c>
      <c r="G111" s="146" t="s">
        <v>895</v>
      </c>
      <c r="H111" s="146" t="s">
        <v>896</v>
      </c>
      <c r="I111" s="146" t="s">
        <v>897</v>
      </c>
      <c r="J111" s="29"/>
    </row>
    <row r="112" spans="2:11">
      <c r="B112" s="143" t="s">
        <v>898</v>
      </c>
      <c r="C112" s="143" t="s">
        <v>860</v>
      </c>
      <c r="D112" s="143">
        <f>$E$3</f>
        <v>600</v>
      </c>
      <c r="E112" s="143" t="s">
        <v>878</v>
      </c>
      <c r="F112" s="143">
        <f>$I$9*$F$3</f>
        <v>2.7777777777777778E-4</v>
      </c>
      <c r="G112" s="143">
        <f>D112*F112</f>
        <v>0.16666666666666666</v>
      </c>
      <c r="H112" s="143">
        <v>86400</v>
      </c>
      <c r="I112" s="143">
        <f>G112*H112/1000000</f>
        <v>1.44E-2</v>
      </c>
    </row>
    <row r="113" spans="2:11">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1">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1">
      <c r="B115" s="143" t="s">
        <v>872</v>
      </c>
      <c r="C115" s="143" t="s">
        <v>873</v>
      </c>
      <c r="D115" s="143">
        <f>$E$7</f>
        <v>1728</v>
      </c>
      <c r="E115" s="143" t="s">
        <v>865</v>
      </c>
      <c r="F115" s="143">
        <f>$M$4*$F$7</f>
        <v>1.1574074074074073E-5</v>
      </c>
      <c r="G115" s="143">
        <f>D115*F115</f>
        <v>0.02</v>
      </c>
      <c r="H115" s="143">
        <v>86400</v>
      </c>
      <c r="I115" s="143">
        <f>G115*H115/1000000</f>
        <v>1.7279999999999999E-3</v>
      </c>
    </row>
    <row r="116" spans="2:11">
      <c r="B116" s="143" t="s">
        <v>875</v>
      </c>
      <c r="C116" s="143" t="s">
        <v>876</v>
      </c>
      <c r="D116" s="143">
        <f>$E$8</f>
        <v>1632</v>
      </c>
      <c r="E116" s="143" t="s">
        <v>865</v>
      </c>
      <c r="F116" s="143">
        <f>$M$4*$F$8</f>
        <v>7.2916666666666659E-4</v>
      </c>
      <c r="G116" s="143">
        <f>D116*F116</f>
        <v>1.19</v>
      </c>
      <c r="H116" s="143">
        <v>86400</v>
      </c>
      <c r="I116" s="143">
        <f>G116*H116/1000000</f>
        <v>0.102816</v>
      </c>
    </row>
    <row r="117" spans="2:11">
      <c r="B117" s="555"/>
      <c r="C117" s="555"/>
      <c r="D117" s="555"/>
      <c r="E117" s="555"/>
      <c r="F117" s="555"/>
      <c r="G117" s="555"/>
      <c r="H117" s="147" t="s">
        <v>902</v>
      </c>
      <c r="I117" s="147">
        <f>SUM(I112:I116)</f>
        <v>0.27857613952039867</v>
      </c>
      <c r="J117" s="17">
        <f>I117*1000000/86400</f>
        <v>3.2242608740786887</v>
      </c>
      <c r="K117">
        <f>J117/8</f>
        <v>0.40303260925983608</v>
      </c>
    </row>
    <row r="118" spans="2:11">
      <c r="B118" s="3"/>
      <c r="C118" s="3"/>
      <c r="D118" s="3"/>
      <c r="E118" s="3"/>
      <c r="F118" s="3"/>
      <c r="G118" s="3"/>
      <c r="I118" s="17"/>
      <c r="J118" s="3" t="s">
        <v>0</v>
      </c>
      <c r="K118" s="3" t="s">
        <v>1017</v>
      </c>
    </row>
    <row r="119" spans="2:11" ht="18.75">
      <c r="B119" s="553" t="s">
        <v>913</v>
      </c>
      <c r="C119" s="553"/>
      <c r="D119" s="553"/>
      <c r="E119" s="553"/>
      <c r="F119" s="553"/>
      <c r="G119" s="553"/>
      <c r="H119" s="553"/>
      <c r="I119" s="553"/>
      <c r="J119" s="151"/>
    </row>
    <row r="120" spans="2:11">
      <c r="B120" s="145"/>
      <c r="C120" s="146" t="s">
        <v>850</v>
      </c>
      <c r="D120" s="146" t="s">
        <v>892</v>
      </c>
      <c r="E120" s="146" t="s">
        <v>893</v>
      </c>
      <c r="F120" s="146" t="s">
        <v>894</v>
      </c>
      <c r="G120" s="146" t="s">
        <v>895</v>
      </c>
      <c r="H120" s="146" t="s">
        <v>896</v>
      </c>
      <c r="I120" s="146" t="s">
        <v>897</v>
      </c>
      <c r="J120" s="29"/>
    </row>
    <row r="121" spans="2:11">
      <c r="B121" s="143" t="s">
        <v>898</v>
      </c>
      <c r="C121" s="143" t="s">
        <v>860</v>
      </c>
      <c r="D121" s="143">
        <f>$E$3</f>
        <v>600</v>
      </c>
      <c r="E121" s="143" t="s">
        <v>878</v>
      </c>
      <c r="F121" s="143">
        <f>$I$9*$F$3</f>
        <v>2.7777777777777778E-4</v>
      </c>
      <c r="G121" s="143">
        <f>D121*F121</f>
        <v>0.16666666666666666</v>
      </c>
      <c r="H121" s="143">
        <v>86400</v>
      </c>
      <c r="I121" s="143">
        <f>G121*H121/1000000</f>
        <v>1.44E-2</v>
      </c>
    </row>
    <row r="122" spans="2:11">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1">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1">
      <c r="B124" s="143" t="s">
        <v>872</v>
      </c>
      <c r="C124" s="143" t="s">
        <v>873</v>
      </c>
      <c r="D124" s="143">
        <f>$E$7</f>
        <v>1728</v>
      </c>
      <c r="E124" s="143" t="s">
        <v>865</v>
      </c>
      <c r="F124" s="143">
        <f>$M$4*$F$7</f>
        <v>1.1574074074074073E-5</v>
      </c>
      <c r="G124" s="143">
        <f>D124*F124</f>
        <v>0.02</v>
      </c>
      <c r="H124" s="143">
        <v>86400</v>
      </c>
      <c r="I124" s="143">
        <f>G124*H124/1000000</f>
        <v>1.7279999999999999E-3</v>
      </c>
    </row>
    <row r="125" spans="2:11">
      <c r="B125" s="143" t="s">
        <v>875</v>
      </c>
      <c r="C125" s="143" t="s">
        <v>876</v>
      </c>
      <c r="D125" s="143">
        <f>$E$8</f>
        <v>1632</v>
      </c>
      <c r="E125" s="143" t="s">
        <v>865</v>
      </c>
      <c r="F125" s="143">
        <f>$M$4*$F$8</f>
        <v>7.2916666666666659E-4</v>
      </c>
      <c r="G125" s="143">
        <f>D125*F125</f>
        <v>1.19</v>
      </c>
      <c r="H125" s="143">
        <v>86400</v>
      </c>
      <c r="I125" s="143">
        <f>G125*H125/1000000</f>
        <v>0.102816</v>
      </c>
    </row>
    <row r="126" spans="2:11">
      <c r="B126" s="555"/>
      <c r="C126" s="555"/>
      <c r="D126" s="555"/>
      <c r="E126" s="555"/>
      <c r="F126" s="555"/>
      <c r="G126" s="555"/>
      <c r="H126" s="147" t="s">
        <v>902</v>
      </c>
      <c r="I126" s="147">
        <f>SUM(I121:I125)</f>
        <v>0.20700217502335722</v>
      </c>
      <c r="J126" s="17">
        <f>I126*1000000/86400</f>
        <v>2.3958585072147827</v>
      </c>
      <c r="K126">
        <f>J126/8</f>
        <v>0.29948231340184783</v>
      </c>
    </row>
    <row r="127" spans="2:11">
      <c r="B127" s="3"/>
      <c r="C127" s="3"/>
      <c r="D127" s="3"/>
      <c r="E127" s="3"/>
      <c r="F127" s="3"/>
      <c r="G127" s="3"/>
      <c r="I127" s="17"/>
      <c r="J127" s="3" t="s">
        <v>0</v>
      </c>
      <c r="K127" s="3" t="s">
        <v>1017</v>
      </c>
    </row>
    <row r="128" spans="2:11" ht="18.75">
      <c r="B128" s="553" t="s">
        <v>914</v>
      </c>
      <c r="C128" s="553"/>
      <c r="D128" s="553"/>
      <c r="E128" s="553"/>
      <c r="F128" s="553"/>
      <c r="G128" s="553"/>
      <c r="H128" s="553"/>
      <c r="I128" s="553"/>
      <c r="J128" s="151"/>
    </row>
    <row r="129" spans="2:11">
      <c r="B129" s="145"/>
      <c r="C129" s="146" t="s">
        <v>850</v>
      </c>
      <c r="D129" s="146" t="s">
        <v>892</v>
      </c>
      <c r="E129" s="146" t="s">
        <v>893</v>
      </c>
      <c r="F129" s="146" t="s">
        <v>894</v>
      </c>
      <c r="G129" s="146" t="s">
        <v>895</v>
      </c>
      <c r="H129" s="146" t="s">
        <v>896</v>
      </c>
      <c r="I129" s="146" t="s">
        <v>897</v>
      </c>
      <c r="J129" s="29"/>
    </row>
    <row r="130" spans="2:11">
      <c r="B130" s="143" t="s">
        <v>898</v>
      </c>
      <c r="C130" s="143" t="s">
        <v>860</v>
      </c>
      <c r="D130" s="143">
        <f>$E$3</f>
        <v>600</v>
      </c>
      <c r="E130" s="143" t="s">
        <v>878</v>
      </c>
      <c r="F130" s="143">
        <f>$I$9*$F$3</f>
        <v>2.7777777777777778E-4</v>
      </c>
      <c r="G130" s="143">
        <f>D130*F130</f>
        <v>0.16666666666666666</v>
      </c>
      <c r="H130" s="143">
        <v>86400</v>
      </c>
      <c r="I130" s="143">
        <f>G130*H130/1000000</f>
        <v>1.44E-2</v>
      </c>
    </row>
    <row r="131" spans="2:11">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1">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1">
      <c r="B133" s="143" t="s">
        <v>872</v>
      </c>
      <c r="C133" s="143" t="s">
        <v>873</v>
      </c>
      <c r="D133" s="143">
        <f>$E$7</f>
        <v>1728</v>
      </c>
      <c r="E133" s="143" t="s">
        <v>865</v>
      </c>
      <c r="F133" s="143">
        <f>$M$4*$F$7</f>
        <v>1.1574074074074073E-5</v>
      </c>
      <c r="G133" s="143">
        <f>D133*F133</f>
        <v>0.02</v>
      </c>
      <c r="H133" s="143">
        <v>86400</v>
      </c>
      <c r="I133" s="143">
        <f>G133*H133/1000000</f>
        <v>1.7279999999999999E-3</v>
      </c>
    </row>
    <row r="134" spans="2:11">
      <c r="B134" s="143" t="s">
        <v>875</v>
      </c>
      <c r="C134" s="143" t="s">
        <v>876</v>
      </c>
      <c r="D134" s="143">
        <f>$E$8</f>
        <v>1632</v>
      </c>
      <c r="E134" s="143" t="s">
        <v>865</v>
      </c>
      <c r="F134" s="143">
        <f>$M$4*$F$8</f>
        <v>7.2916666666666659E-4</v>
      </c>
      <c r="G134" s="143">
        <f>D134*F134</f>
        <v>1.19</v>
      </c>
      <c r="H134" s="143">
        <v>86400</v>
      </c>
      <c r="I134" s="143">
        <f>G134*H134/1000000</f>
        <v>0.102816</v>
      </c>
    </row>
    <row r="135" spans="2:11">
      <c r="B135" s="555"/>
      <c r="C135" s="555"/>
      <c r="D135" s="555"/>
      <c r="E135" s="555"/>
      <c r="F135" s="555"/>
      <c r="G135" s="555"/>
      <c r="H135" s="147" t="s">
        <v>902</v>
      </c>
      <c r="I135" s="147">
        <f>SUM(I130:I134)</f>
        <v>0.17126821052631577</v>
      </c>
      <c r="J135" s="17">
        <f>I135*1000000/86400</f>
        <v>1.9822709551656921</v>
      </c>
      <c r="K135">
        <f>J135/8</f>
        <v>0.24778386939571151</v>
      </c>
    </row>
    <row r="136" spans="2:11" ht="15" customHeight="1">
      <c r="J136" s="3" t="s">
        <v>0</v>
      </c>
      <c r="K136" s="3" t="s">
        <v>1017</v>
      </c>
    </row>
    <row r="137" spans="2:11" ht="18.75">
      <c r="B137" s="553" t="s">
        <v>915</v>
      </c>
      <c r="C137" s="553"/>
      <c r="D137" s="553"/>
      <c r="E137" s="553"/>
      <c r="F137" s="553"/>
      <c r="G137" s="553"/>
      <c r="H137" s="553"/>
      <c r="I137" s="553"/>
      <c r="J137" s="151"/>
    </row>
    <row r="138" spans="2:11">
      <c r="B138" s="145"/>
      <c r="C138" s="146" t="s">
        <v>850</v>
      </c>
      <c r="D138" s="146" t="s">
        <v>892</v>
      </c>
      <c r="E138" s="146" t="s">
        <v>893</v>
      </c>
      <c r="F138" s="146" t="s">
        <v>894</v>
      </c>
      <c r="G138" s="146" t="s">
        <v>895</v>
      </c>
      <c r="H138" s="146" t="s">
        <v>896</v>
      </c>
      <c r="I138" s="146" t="s">
        <v>897</v>
      </c>
      <c r="J138" s="29"/>
    </row>
    <row r="139" spans="2:11">
      <c r="B139" s="143" t="s">
        <v>898</v>
      </c>
      <c r="C139" s="143" t="s">
        <v>860</v>
      </c>
      <c r="D139" s="143">
        <f>$E$3</f>
        <v>600</v>
      </c>
      <c r="E139" s="143" t="s">
        <v>878</v>
      </c>
      <c r="F139" s="143">
        <f>$I$9*$F$3</f>
        <v>2.7777777777777778E-4</v>
      </c>
      <c r="G139" s="143">
        <f>D139*F139</f>
        <v>0.16666666666666666</v>
      </c>
      <c r="H139" s="143">
        <v>86400</v>
      </c>
      <c r="I139" s="143">
        <f>G139*H139/1000000</f>
        <v>1.44E-2</v>
      </c>
    </row>
    <row r="140" spans="2:11">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1">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1">
      <c r="B142" s="143" t="s">
        <v>872</v>
      </c>
      <c r="C142" s="143" t="s">
        <v>873</v>
      </c>
      <c r="D142" s="143">
        <f>$E$7</f>
        <v>1728</v>
      </c>
      <c r="E142" s="143" t="s">
        <v>865</v>
      </c>
      <c r="F142" s="143">
        <f>$M$4*$F$7</f>
        <v>1.1574074074074073E-5</v>
      </c>
      <c r="G142" s="143">
        <f>D142*F142</f>
        <v>0.02</v>
      </c>
      <c r="H142" s="143">
        <v>86400</v>
      </c>
      <c r="I142" s="143">
        <f>G142*H142/1000000</f>
        <v>1.7279999999999999E-3</v>
      </c>
    </row>
    <row r="143" spans="2:11">
      <c r="B143" s="143" t="s">
        <v>875</v>
      </c>
      <c r="C143" s="143" t="s">
        <v>876</v>
      </c>
      <c r="D143" s="143">
        <f>$E$8</f>
        <v>1632</v>
      </c>
      <c r="E143" s="143" t="s">
        <v>865</v>
      </c>
      <c r="F143" s="143">
        <f>$M$4*$F$8</f>
        <v>7.2916666666666659E-4</v>
      </c>
      <c r="G143" s="143">
        <f>D143*F143</f>
        <v>1.19</v>
      </c>
      <c r="H143" s="143">
        <v>86400</v>
      </c>
      <c r="I143" s="143">
        <f>G143*H143/1000000</f>
        <v>0.102816</v>
      </c>
    </row>
    <row r="144" spans="2:11">
      <c r="B144" s="557"/>
      <c r="C144" s="557"/>
      <c r="D144" s="557"/>
      <c r="E144" s="557"/>
      <c r="F144" s="557"/>
      <c r="G144" s="557"/>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58" t="s">
        <v>916</v>
      </c>
      <c r="C149" s="558"/>
      <c r="D149" s="558"/>
      <c r="E149" s="558"/>
      <c r="F149" s="558"/>
      <c r="G149" s="558"/>
      <c r="H149" s="558"/>
      <c r="I149" s="558"/>
      <c r="J149" s="559" t="s">
        <v>917</v>
      </c>
      <c r="K149" s="559"/>
      <c r="L149" s="559"/>
      <c r="M149" s="559"/>
    </row>
    <row r="150" spans="2:13">
      <c r="B150" s="145"/>
      <c r="C150" s="146" t="s">
        <v>850</v>
      </c>
      <c r="D150" s="146" t="s">
        <v>892</v>
      </c>
      <c r="E150" s="146" t="s">
        <v>893</v>
      </c>
      <c r="F150" s="146" t="s">
        <v>894</v>
      </c>
      <c r="G150" s="146" t="s">
        <v>895</v>
      </c>
      <c r="H150" s="146" t="s">
        <v>896</v>
      </c>
      <c r="I150" s="146" t="s">
        <v>897</v>
      </c>
      <c r="J150" s="29"/>
    </row>
    <row r="151" spans="2:13">
      <c r="B151" s="143" t="s">
        <v>898</v>
      </c>
      <c r="C151" s="143" t="s">
        <v>860</v>
      </c>
      <c r="D151" s="143">
        <f>$E$3</f>
        <v>600</v>
      </c>
      <c r="E151" s="143" t="s">
        <v>890</v>
      </c>
      <c r="F151" s="143">
        <f>$I$21*$F$3</f>
        <v>1</v>
      </c>
      <c r="G151" s="143">
        <f>D151*F151</f>
        <v>600</v>
      </c>
      <c r="H151" s="143">
        <v>7200</v>
      </c>
      <c r="I151" s="143">
        <f>G151*H151/1000000</f>
        <v>4.32</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555"/>
      <c r="C156" s="555"/>
      <c r="D156" s="555"/>
      <c r="E156" s="555"/>
      <c r="F156" s="555"/>
      <c r="G156" s="555"/>
      <c r="H156" s="147" t="s">
        <v>902</v>
      </c>
      <c r="I156" s="147">
        <f>SUM(I151:I155)+(15000/1000000)</f>
        <v>6.351</v>
      </c>
      <c r="J156" s="17"/>
    </row>
    <row r="162" spans="2:7" ht="72" customHeight="1">
      <c r="B162" s="561" t="s">
        <v>918</v>
      </c>
      <c r="C162" s="153" t="s">
        <v>919</v>
      </c>
      <c r="D162" s="154" t="s">
        <v>920</v>
      </c>
      <c r="E162" s="562" t="s">
        <v>921</v>
      </c>
      <c r="F162" s="562"/>
      <c r="G162" s="562"/>
    </row>
    <row r="163" spans="2:7" ht="78.75" customHeight="1">
      <c r="B163" s="561"/>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561" t="s">
        <v>918</v>
      </c>
      <c r="C179" s="153" t="s">
        <v>919</v>
      </c>
      <c r="D179" s="154" t="s">
        <v>920</v>
      </c>
    </row>
    <row r="180" spans="2:11" ht="36">
      <c r="B180" s="561"/>
      <c r="C180" s="1" t="s">
        <v>924</v>
      </c>
      <c r="D180" s="154" t="s">
        <v>925</v>
      </c>
    </row>
    <row r="181" spans="2:11" ht="36">
      <c r="B181" s="155" t="s">
        <v>926</v>
      </c>
      <c r="C181" s="160">
        <f>$I$32</f>
        <v>24.222884210526313</v>
      </c>
      <c r="D181" s="160">
        <f>C181*365.25/1000</f>
        <v>8.847408457894737</v>
      </c>
    </row>
    <row r="189" spans="2:11" ht="21" customHeight="1">
      <c r="B189" s="563" t="s">
        <v>927</v>
      </c>
      <c r="C189" s="563"/>
      <c r="D189" s="563"/>
      <c r="E189" s="563"/>
      <c r="F189" s="563"/>
      <c r="G189" s="563"/>
      <c r="H189" s="563"/>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560" t="s">
        <v>929</v>
      </c>
      <c r="C197" s="560"/>
      <c r="D197" s="560"/>
      <c r="F197" s="560" t="s">
        <v>929</v>
      </c>
      <c r="G197" s="560"/>
      <c r="H197" s="560"/>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560" t="s">
        <v>936</v>
      </c>
      <c r="C204" s="560"/>
      <c r="D204" s="560"/>
      <c r="F204" s="560" t="s">
        <v>936</v>
      </c>
      <c r="G204" s="560"/>
      <c r="H204" s="560"/>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conditionalFormatting sqref="M3:M15">
    <cfRule type="expression" dxfId="21" priority="1">
      <formula>M3=I3</formula>
    </cfRule>
    <cfRule type="expression" dxfId="20"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23"/>
  <sheetViews>
    <sheetView zoomScaleNormal="100" workbookViewId="0">
      <pane ySplit="2955" topLeftCell="A2" activePane="bottomLeft"/>
      <selection activeCell="D24" sqref="D24"/>
      <selection pane="bottomLeft" activeCell="S5" sqref="S5"/>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80"/>
      <c r="AG1" s="280"/>
      <c r="AH1" s="6" t="s">
        <v>5411</v>
      </c>
      <c r="AI1" s="3">
        <v>1988</v>
      </c>
      <c r="AJ1" s="3">
        <v>18176</v>
      </c>
      <c r="AK1" s="3">
        <v>512</v>
      </c>
      <c r="AL1" s="3">
        <v>2087</v>
      </c>
      <c r="AM1" s="3">
        <v>1266</v>
      </c>
      <c r="AN1" s="3">
        <v>526</v>
      </c>
    </row>
    <row r="2" spans="2:47" ht="15">
      <c r="M2" t="s">
        <v>43</v>
      </c>
      <c r="N2">
        <v>126</v>
      </c>
      <c r="O2">
        <v>159</v>
      </c>
      <c r="P2">
        <f>O2-N2</f>
        <v>33</v>
      </c>
      <c r="Q2">
        <f>P2*S6</f>
        <v>31.728378000000003</v>
      </c>
      <c r="R2" s="6" t="s">
        <v>1166</v>
      </c>
      <c r="S2" s="281">
        <f>'SWAP Data Volumns'!K108</f>
        <v>0.5056665308181959</v>
      </c>
      <c r="T2">
        <f>S2*86400*8/1000000</f>
        <v>0.34951670610153701</v>
      </c>
      <c r="AF2" s="280"/>
      <c r="AG2" s="280"/>
      <c r="AH2" s="6" t="s">
        <v>5410</v>
      </c>
      <c r="AI2" s="3">
        <v>1</v>
      </c>
      <c r="AJ2" s="3">
        <v>1</v>
      </c>
      <c r="AK2" s="3">
        <v>1</v>
      </c>
      <c r="AL2" s="3">
        <v>64</v>
      </c>
      <c r="AM2" s="3">
        <v>1</v>
      </c>
      <c r="AN2" s="3">
        <v>64</v>
      </c>
    </row>
    <row r="3" spans="2:47" ht="15">
      <c r="N3">
        <v>159</v>
      </c>
      <c r="O3">
        <v>181</v>
      </c>
      <c r="P3">
        <f>O3-N3</f>
        <v>22</v>
      </c>
      <c r="Q3">
        <f>P3*X6</f>
        <v>56.201820631579039</v>
      </c>
      <c r="R3" s="6" t="s">
        <v>1196</v>
      </c>
      <c r="S3" s="281">
        <f>'SWAP Data Volumns'!K99</f>
        <v>0.80996710526315774</v>
      </c>
      <c r="V3">
        <f>4.513307/V10</f>
        <v>0.92947580888228509</v>
      </c>
      <c r="X3">
        <f>25/X6</f>
        <v>9.7861598400063663</v>
      </c>
      <c r="AF3" s="280"/>
      <c r="AG3" s="280"/>
      <c r="AI3" s="3" t="s">
        <v>1</v>
      </c>
      <c r="AJ3" s="3" t="s">
        <v>58</v>
      </c>
      <c r="AK3" s="3" t="s">
        <v>5284</v>
      </c>
      <c r="AL3" s="3" t="s">
        <v>5408</v>
      </c>
      <c r="AM3" s="3" t="s">
        <v>61</v>
      </c>
      <c r="AN3" s="3" t="s">
        <v>5409</v>
      </c>
    </row>
    <row r="4" spans="2:47" ht="15">
      <c r="N4">
        <v>181</v>
      </c>
      <c r="O4">
        <v>218</v>
      </c>
      <c r="P4">
        <f>O4-N4</f>
        <v>37</v>
      </c>
      <c r="Q4">
        <f>P4*S6</f>
        <v>35.574241999999998</v>
      </c>
      <c r="R4" s="6" t="s">
        <v>1068</v>
      </c>
      <c r="S4" s="281">
        <f>'SWAP Data Volumns'!K90</f>
        <v>1.4028285692679976</v>
      </c>
      <c r="W4" t="s">
        <v>1014</v>
      </c>
      <c r="X4" s="282">
        <f>'SWAP Data Volumns'!K108</f>
        <v>0.5056665308181959</v>
      </c>
      <c r="AF4" s="280"/>
      <c r="AG4" s="280"/>
      <c r="AH4" s="6" t="s">
        <v>5412</v>
      </c>
      <c r="AI4" s="3">
        <v>1988</v>
      </c>
      <c r="AJ4" s="3">
        <v>18176</v>
      </c>
      <c r="AK4" s="3">
        <v>512</v>
      </c>
      <c r="AL4" s="3">
        <v>2087</v>
      </c>
      <c r="AM4" s="3">
        <v>1266</v>
      </c>
      <c r="AN4" s="3">
        <v>526</v>
      </c>
    </row>
    <row r="5" spans="2:47" ht="15">
      <c r="L5">
        <f>66+90+23+164+28+5</f>
        <v>376</v>
      </c>
      <c r="Q5">
        <f>Q4+Q3+Q2</f>
        <v>123.50444063157904</v>
      </c>
      <c r="R5" s="6" t="s">
        <v>1165</v>
      </c>
      <c r="S5" s="281">
        <f>'SWAP Data Volumns'!K72</f>
        <v>3.6959320175438592</v>
      </c>
      <c r="AF5" s="280"/>
      <c r="AG5" s="280"/>
      <c r="AH5" s="6" t="s">
        <v>5413</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80"/>
      <c r="AG6" s="280"/>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72"/>
      <c r="AG7" s="280"/>
      <c r="AI7" s="3" t="s">
        <v>49</v>
      </c>
      <c r="AJ7" s="3" t="s">
        <v>50</v>
      </c>
      <c r="AK7" s="3" t="s">
        <v>51</v>
      </c>
      <c r="AL7" s="3" t="s">
        <v>52</v>
      </c>
      <c r="AM7" s="3" t="s">
        <v>53</v>
      </c>
      <c r="AN7" s="3" t="s">
        <v>54</v>
      </c>
      <c r="AT7" s="266" t="s">
        <v>5405</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72" t="s">
        <v>63</v>
      </c>
      <c r="AG8" s="272"/>
      <c r="AI8" s="3" t="s">
        <v>1</v>
      </c>
      <c r="AJ8" s="3" t="s">
        <v>58</v>
      </c>
      <c r="AK8" s="3" t="s">
        <v>59</v>
      </c>
      <c r="AL8" s="3" t="s">
        <v>60</v>
      </c>
      <c r="AM8" s="3" t="s">
        <v>61</v>
      </c>
      <c r="AN8" s="3" t="s">
        <v>62</v>
      </c>
      <c r="AO8" s="276" t="s">
        <v>5402</v>
      </c>
      <c r="AP8" s="276" t="s">
        <v>5402</v>
      </c>
      <c r="AQ8" s="276" t="s">
        <v>5402</v>
      </c>
      <c r="AR8" s="276" t="s">
        <v>5402</v>
      </c>
      <c r="AS8" s="277" t="s">
        <v>5405</v>
      </c>
      <c r="AT8" s="270" t="s">
        <v>5406</v>
      </c>
      <c r="AU8" s="266" t="s">
        <v>5417</v>
      </c>
    </row>
    <row r="9" spans="2:47" ht="15.7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438">
        <f>X6*1000000/(8*86400)</f>
        <v>3.6959320175438659</v>
      </c>
      <c r="Y9" s="39" t="s">
        <v>66</v>
      </c>
      <c r="Z9" s="3" t="s">
        <v>0</v>
      </c>
      <c r="AA9" s="3" t="s">
        <v>0</v>
      </c>
      <c r="AB9" s="3" t="s">
        <v>0</v>
      </c>
      <c r="AC9" s="3" t="s">
        <v>0</v>
      </c>
      <c r="AD9" s="3" t="s">
        <v>0</v>
      </c>
      <c r="AE9" s="3" t="s">
        <v>0</v>
      </c>
      <c r="AF9" s="272"/>
      <c r="AG9" s="274" t="s">
        <v>5414</v>
      </c>
      <c r="AH9" s="268" t="s">
        <v>66</v>
      </c>
      <c r="AI9" s="3" t="s">
        <v>0</v>
      </c>
      <c r="AJ9" s="3" t="s">
        <v>0</v>
      </c>
      <c r="AK9" s="3" t="s">
        <v>0</v>
      </c>
      <c r="AL9" s="3" t="s">
        <v>0</v>
      </c>
      <c r="AM9" s="3" t="s">
        <v>0</v>
      </c>
      <c r="AN9" s="3" t="s">
        <v>0</v>
      </c>
      <c r="AO9" s="278" t="s">
        <v>1</v>
      </c>
      <c r="AP9" s="278" t="s">
        <v>58</v>
      </c>
      <c r="AQ9" s="278" t="s">
        <v>5284</v>
      </c>
      <c r="AR9" s="278" t="s">
        <v>5403</v>
      </c>
      <c r="AS9" s="279" t="s">
        <v>5404</v>
      </c>
      <c r="AT9" s="271" t="s">
        <v>5407</v>
      </c>
      <c r="AU9" s="271" t="s">
        <v>5416</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72"/>
      <c r="AG10" s="275">
        <f>AH10-Y10</f>
        <v>0</v>
      </c>
      <c r="AH10" s="269">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83">
        <v>120</v>
      </c>
      <c r="AP10" s="283">
        <v>7200</v>
      </c>
      <c r="AQ10" s="283">
        <v>1800</v>
      </c>
      <c r="AR10" s="283">
        <v>103</v>
      </c>
      <c r="AS10" s="283">
        <v>106</v>
      </c>
      <c r="AT10" s="284">
        <f t="shared" ref="AT10:AT11" si="3">IF(OR(AS10="",AS10&lt;105,AS10&gt;109),720,(336+(AS10-107)*(110+(AS10-107)*(25+(AS10-107)*(10+(AS10-107)*(-1)))))/24)</f>
        <v>10</v>
      </c>
      <c r="AU10" s="266"/>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72">
        <f t="shared" ref="AF11:AF22" si="4">Y11*86400/1000000</f>
        <v>3.1195980000000052</v>
      </c>
      <c r="AG11" s="275">
        <f t="shared" ref="AG11:AG31" si="5">AH11-Y11</f>
        <v>-5.6843418860808015E-14</v>
      </c>
      <c r="AH11" s="269">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85">
        <v>120</v>
      </c>
      <c r="AP11" s="285">
        <v>7200</v>
      </c>
      <c r="AQ11" s="285">
        <v>1800</v>
      </c>
      <c r="AR11" s="285">
        <v>103</v>
      </c>
      <c r="AS11" s="285">
        <v>106</v>
      </c>
      <c r="AT11" s="286">
        <f t="shared" si="3"/>
        <v>10</v>
      </c>
      <c r="AU11" s="270"/>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72">
        <f t="shared" si="4"/>
        <v>2.1360779999999986</v>
      </c>
      <c r="AG12" s="275">
        <f t="shared" si="5"/>
        <v>0</v>
      </c>
      <c r="AH12" s="269">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85">
        <v>180</v>
      </c>
      <c r="AP12" s="285">
        <v>7200</v>
      </c>
      <c r="AQ12" s="285">
        <v>1800</v>
      </c>
      <c r="AR12" s="285">
        <v>103</v>
      </c>
      <c r="AS12" s="285">
        <v>110</v>
      </c>
      <c r="AT12" s="286">
        <f>IF(OR(AS12="",AS12&lt;105,AS12&gt;109),720,(336+(AS12-107)*(110+(AS12-107)*(25+(AS12-107)*(10+(AS12-107)*(-1)))))/24)</f>
        <v>720</v>
      </c>
      <c r="AU12" s="270"/>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72">
        <f t="shared" si="4"/>
        <v>2.613198000000005</v>
      </c>
      <c r="AG13" s="275">
        <f t="shared" si="5"/>
        <v>-6.0396132539608516E-14</v>
      </c>
      <c r="AH13" s="269">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85">
        <v>120</v>
      </c>
      <c r="AP13" s="285">
        <v>7200</v>
      </c>
      <c r="AQ13" s="285">
        <v>1800</v>
      </c>
      <c r="AR13" s="285">
        <v>103</v>
      </c>
      <c r="AS13" s="285"/>
      <c r="AT13" s="286">
        <f t="shared" ref="AT13:AT31" si="10">IF(OR(AS13="",AS13&lt;105,AS13&gt;109),720,(336+(AS13-107)*(110+(AS13-107)*(25+(AS13-107)*(10+(AS13-107)*(-1)))))/24)</f>
        <v>720</v>
      </c>
      <c r="AU13" s="270"/>
    </row>
    <row r="14" spans="2:47" ht="15.75" thickBot="1">
      <c r="S14">
        <v>25159</v>
      </c>
      <c r="T14" t="s">
        <v>77</v>
      </c>
      <c r="U14" s="23" t="s">
        <v>70</v>
      </c>
      <c r="V14" s="40">
        <f t="shared" si="0"/>
        <v>0.34244791666666624</v>
      </c>
      <c r="W14" t="s">
        <v>81</v>
      </c>
      <c r="X14" s="3" t="s">
        <v>79</v>
      </c>
      <c r="Y14" s="39">
        <f t="shared" si="1"/>
        <v>2.7395833333333299</v>
      </c>
      <c r="AD14" s="3"/>
      <c r="AE14">
        <v>2.7395833333333299</v>
      </c>
      <c r="AF14" s="272">
        <f t="shared" si="4"/>
        <v>0.23669999999999972</v>
      </c>
      <c r="AG14" s="275">
        <f t="shared" si="5"/>
        <v>3.5527136788005009E-15</v>
      </c>
      <c r="AH14" s="269">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85"/>
      <c r="AP14" s="285"/>
      <c r="AQ14" s="285"/>
      <c r="AR14" s="285">
        <v>103</v>
      </c>
      <c r="AS14" s="285"/>
      <c r="AT14" s="286">
        <f t="shared" si="10"/>
        <v>720</v>
      </c>
      <c r="AU14" s="270"/>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72">
        <f t="shared" si="4"/>
        <v>1.1969279999999958</v>
      </c>
      <c r="AG15" s="275">
        <f t="shared" si="5"/>
        <v>4.9737991503207013E-14</v>
      </c>
      <c r="AH15" s="269">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85">
        <v>180</v>
      </c>
      <c r="AP15" s="285">
        <v>7200</v>
      </c>
      <c r="AQ15" s="285">
        <v>1800</v>
      </c>
      <c r="AR15" s="285"/>
      <c r="AS15" s="285"/>
      <c r="AT15" s="286">
        <f t="shared" si="10"/>
        <v>720</v>
      </c>
      <c r="AU15" s="270"/>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72">
        <f t="shared" si="4"/>
        <v>1.6740480000000024</v>
      </c>
      <c r="AG16" s="275">
        <f t="shared" si="5"/>
        <v>-2.8421709430404007E-14</v>
      </c>
      <c r="AH16" s="269">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85">
        <v>120</v>
      </c>
      <c r="AP16" s="285">
        <v>7200</v>
      </c>
      <c r="AQ16" s="285">
        <v>1800</v>
      </c>
      <c r="AR16" s="285"/>
      <c r="AS16" s="285"/>
      <c r="AT16" s="286">
        <f t="shared" si="10"/>
        <v>720</v>
      </c>
      <c r="AU16" s="270"/>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72">
        <f t="shared" si="4"/>
        <v>1.4687159999999964</v>
      </c>
      <c r="AG17" s="275">
        <f t="shared" si="5"/>
        <v>4.2632564145606011E-14</v>
      </c>
      <c r="AH17" s="269">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85">
        <v>180</v>
      </c>
      <c r="AP17" s="285"/>
      <c r="AQ17" s="285">
        <v>1800</v>
      </c>
      <c r="AR17" s="285">
        <v>103</v>
      </c>
      <c r="AS17" s="285">
        <v>105</v>
      </c>
      <c r="AT17" s="286">
        <f t="shared" si="10"/>
        <v>5</v>
      </c>
      <c r="AU17" s="270"/>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72">
        <f t="shared" si="4"/>
        <v>1.1572620000000022</v>
      </c>
      <c r="AG18" s="275">
        <f t="shared" si="5"/>
        <v>-2.8421709430404007E-14</v>
      </c>
      <c r="AH18" s="269">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85"/>
      <c r="AP18" s="285">
        <v>7200</v>
      </c>
      <c r="AQ18" s="285"/>
      <c r="AR18" s="285">
        <v>103</v>
      </c>
      <c r="AS18" s="285"/>
      <c r="AT18" s="286">
        <f t="shared" si="10"/>
        <v>720</v>
      </c>
      <c r="AU18" s="270"/>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72">
        <f t="shared" si="4"/>
        <v>2.6259779999999986</v>
      </c>
      <c r="AG19" s="275">
        <f t="shared" si="5"/>
        <v>0</v>
      </c>
      <c r="AH19" s="269">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85">
        <v>180</v>
      </c>
      <c r="AP19" s="285">
        <v>7200</v>
      </c>
      <c r="AQ19" s="285">
        <v>1800</v>
      </c>
      <c r="AR19" s="285">
        <v>103</v>
      </c>
      <c r="AS19" s="285">
        <v>105</v>
      </c>
      <c r="AT19" s="286">
        <f t="shared" si="10"/>
        <v>5</v>
      </c>
      <c r="AU19" s="270"/>
    </row>
    <row r="20" spans="13:47" ht="15.75" thickBot="1">
      <c r="S20">
        <v>25159</v>
      </c>
      <c r="T20" t="s">
        <v>77</v>
      </c>
      <c r="U20" s="23" t="s">
        <v>70</v>
      </c>
      <c r="V20" s="40">
        <f t="shared" si="0"/>
        <v>52.75</v>
      </c>
      <c r="W20" t="s">
        <v>93</v>
      </c>
      <c r="X20" s="3" t="s">
        <v>79</v>
      </c>
      <c r="Y20" s="39">
        <f t="shared" si="1"/>
        <v>422</v>
      </c>
      <c r="AD20">
        <v>422</v>
      </c>
      <c r="AF20" s="272">
        <f t="shared" si="4"/>
        <v>36.460799999999999</v>
      </c>
      <c r="AG20" s="275">
        <f t="shared" si="5"/>
        <v>0</v>
      </c>
      <c r="AH20" s="269">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85"/>
      <c r="AP20" s="285"/>
      <c r="AQ20" s="285"/>
      <c r="AR20" s="285">
        <v>103</v>
      </c>
      <c r="AS20" s="285">
        <v>110</v>
      </c>
      <c r="AT20" s="286">
        <f t="shared" si="10"/>
        <v>720</v>
      </c>
      <c r="AU20" s="270"/>
    </row>
    <row r="21" spans="13:47" ht="15.75" thickBot="1">
      <c r="Q21" t="s">
        <v>987</v>
      </c>
      <c r="R21" t="s">
        <v>5717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72">
        <f t="shared" si="4"/>
        <v>1.2365459999999995</v>
      </c>
      <c r="AG21" s="275">
        <f t="shared" si="5"/>
        <v>0</v>
      </c>
      <c r="AH21" s="269">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85">
        <v>360</v>
      </c>
      <c r="AP21" s="285"/>
      <c r="AQ21" s="285">
        <v>1800</v>
      </c>
      <c r="AR21" s="285">
        <v>104</v>
      </c>
      <c r="AS21" s="285">
        <v>105</v>
      </c>
      <c r="AT21" s="286">
        <f t="shared" si="10"/>
        <v>5</v>
      </c>
      <c r="AU21" s="270"/>
    </row>
    <row r="22" spans="13:47" ht="15.75" thickBot="1">
      <c r="M22">
        <f>20.2/22.12</f>
        <v>0.91320072332730551</v>
      </c>
      <c r="N22" s="437" t="s">
        <v>5716</v>
      </c>
      <c r="Q22" s="17" t="s">
        <v>90</v>
      </c>
      <c r="R22" s="437" t="s">
        <v>5715</v>
      </c>
      <c r="S22" s="17"/>
      <c r="T22" s="30" t="s">
        <v>988</v>
      </c>
      <c r="U22" s="23" t="s">
        <v>70</v>
      </c>
      <c r="V22" s="40">
        <f t="shared" si="0"/>
        <v>4.5625303819444447</v>
      </c>
      <c r="W22" t="s">
        <v>90</v>
      </c>
      <c r="X22" s="3" t="s">
        <v>5709</v>
      </c>
      <c r="Y22" s="39">
        <f t="shared" si="1"/>
        <v>36.500243055555558</v>
      </c>
      <c r="AA22" s="355">
        <v>20.195555555555554</v>
      </c>
      <c r="AB22" s="355"/>
      <c r="AC22" s="355">
        <v>16.3046875</v>
      </c>
      <c r="AF22" s="272">
        <f t="shared" si="4"/>
        <v>3.1536209999999998</v>
      </c>
      <c r="AG22" s="275">
        <f t="shared" si="5"/>
        <v>0</v>
      </c>
      <c r="AH22" s="269">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85"/>
      <c r="AP22" s="285">
        <v>900</v>
      </c>
      <c r="AQ22" s="285"/>
      <c r="AR22" s="285">
        <v>104</v>
      </c>
      <c r="AS22" s="285"/>
      <c r="AT22" s="286">
        <f t="shared" si="10"/>
        <v>720</v>
      </c>
      <c r="AU22" s="270"/>
    </row>
    <row r="23" spans="13:47" ht="15.75" thickBot="1">
      <c r="Q23" s="17" t="s">
        <v>1253</v>
      </c>
      <c r="R23" s="17"/>
      <c r="S23" s="17"/>
      <c r="T23" s="30" t="s">
        <v>988</v>
      </c>
      <c r="U23" s="23" t="s">
        <v>70</v>
      </c>
      <c r="V23" s="40">
        <f t="shared" si="0"/>
        <v>0.55078125</v>
      </c>
      <c r="W23" t="s">
        <v>5705</v>
      </c>
      <c r="X23" s="3" t="s">
        <v>5709</v>
      </c>
      <c r="Y23" s="39">
        <f t="shared" si="1"/>
        <v>4.40625</v>
      </c>
      <c r="AE23">
        <v>4.40625</v>
      </c>
      <c r="AF23" s="272"/>
      <c r="AG23" s="275">
        <f t="shared" si="5"/>
        <v>0</v>
      </c>
      <c r="AH23" s="269">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85">
        <v>360</v>
      </c>
      <c r="AP23" s="285">
        <v>900</v>
      </c>
      <c r="AQ23" s="285">
        <v>1800</v>
      </c>
      <c r="AR23" s="285">
        <v>104</v>
      </c>
      <c r="AS23" s="285">
        <v>105</v>
      </c>
      <c r="AT23" s="286">
        <f t="shared" si="10"/>
        <v>5</v>
      </c>
      <c r="AU23" s="270" t="s">
        <v>5415</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72">
        <f t="shared" ref="AF24:AF32" si="19">Y24*86400/1000000</f>
        <v>2.2707119999999961</v>
      </c>
      <c r="AG24" s="275">
        <f t="shared" si="5"/>
        <v>4.6185277824406512E-14</v>
      </c>
      <c r="AH24" s="269">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85">
        <v>180</v>
      </c>
      <c r="AP24" s="285">
        <v>7200</v>
      </c>
      <c r="AQ24" s="285">
        <v>1800</v>
      </c>
      <c r="AR24" s="285">
        <v>103</v>
      </c>
      <c r="AS24" s="285">
        <v>110</v>
      </c>
      <c r="AT24" s="286">
        <f t="shared" si="10"/>
        <v>720</v>
      </c>
      <c r="AU24" s="270" t="s">
        <v>5415</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72">
        <f t="shared" si="19"/>
        <v>1.2177119999999964</v>
      </c>
      <c r="AG25" s="275">
        <f t="shared" si="5"/>
        <v>4.4408920985006262E-14</v>
      </c>
      <c r="AH25" s="269">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85">
        <v>180</v>
      </c>
      <c r="AP25" s="285">
        <v>7200</v>
      </c>
      <c r="AQ25" s="285">
        <v>1800</v>
      </c>
      <c r="AR25" s="285"/>
      <c r="AS25" s="285"/>
      <c r="AT25" s="286">
        <f t="shared" si="10"/>
        <v>720</v>
      </c>
      <c r="AU25" s="270" t="s">
        <v>5415</v>
      </c>
    </row>
    <row r="26" spans="13:47" ht="15.75" thickBot="1">
      <c r="Q26" t="s">
        <v>821</v>
      </c>
      <c r="S26">
        <v>25159</v>
      </c>
      <c r="T26" t="s">
        <v>77</v>
      </c>
      <c r="U26" s="23" t="s">
        <v>70</v>
      </c>
      <c r="V26" s="40">
        <f t="shared" si="0"/>
        <v>0.3671875</v>
      </c>
      <c r="W26" t="s">
        <v>81</v>
      </c>
      <c r="X26" s="3" t="s">
        <v>79</v>
      </c>
      <c r="Y26" s="39">
        <f t="shared" si="1"/>
        <v>2.9375</v>
      </c>
      <c r="AD26" s="3"/>
      <c r="AE26">
        <v>2.9375</v>
      </c>
      <c r="AF26" s="272">
        <f t="shared" si="19"/>
        <v>0.25380000000000003</v>
      </c>
      <c r="AG26" s="275">
        <f t="shared" si="5"/>
        <v>0</v>
      </c>
      <c r="AH26" s="269">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85"/>
      <c r="AP26" s="285"/>
      <c r="AQ26" s="285"/>
      <c r="AR26" s="285">
        <v>103</v>
      </c>
      <c r="AS26" s="285"/>
      <c r="AT26" s="286">
        <f t="shared" si="10"/>
        <v>720</v>
      </c>
      <c r="AU26" s="270" t="s">
        <v>5415</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72">
        <f t="shared" si="19"/>
        <v>1.4986159999999957</v>
      </c>
      <c r="AG27" s="275">
        <f t="shared" si="5"/>
        <v>4.9737991503207013E-14</v>
      </c>
      <c r="AH27" s="269">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85">
        <v>180</v>
      </c>
      <c r="AP27" s="285"/>
      <c r="AQ27" s="285">
        <v>1800</v>
      </c>
      <c r="AR27" s="285">
        <v>103</v>
      </c>
      <c r="AS27" s="285">
        <v>105</v>
      </c>
      <c r="AT27" s="286">
        <f t="shared" si="10"/>
        <v>5</v>
      </c>
      <c r="AU27" s="270" t="s">
        <v>5415</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72">
        <f t="shared" si="19"/>
        <v>38.303999999999974</v>
      </c>
      <c r="AG28" s="275">
        <f t="shared" si="5"/>
        <v>0</v>
      </c>
      <c r="AH28" s="269">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85"/>
      <c r="AP28" s="285"/>
      <c r="AQ28" s="285"/>
      <c r="AR28" s="285">
        <v>103</v>
      </c>
      <c r="AS28" s="285">
        <v>110</v>
      </c>
      <c r="AT28" s="286">
        <f t="shared" si="10"/>
        <v>720</v>
      </c>
      <c r="AU28" s="270" t="s">
        <v>5415</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72">
        <f t="shared" si="19"/>
        <v>1.2918959999999999</v>
      </c>
      <c r="AG29" s="275">
        <f t="shared" si="5"/>
        <v>0</v>
      </c>
      <c r="AH29" s="269">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85"/>
      <c r="AP29" s="285">
        <v>7200</v>
      </c>
      <c r="AQ29" s="285"/>
      <c r="AR29" s="285">
        <v>103</v>
      </c>
      <c r="AS29" s="285"/>
      <c r="AT29" s="286">
        <f t="shared" si="10"/>
        <v>720</v>
      </c>
      <c r="AU29" s="270" t="s">
        <v>5415</v>
      </c>
    </row>
    <row r="30" spans="13:47" s="202" customFormat="1" ht="15.75" thickBot="1">
      <c r="N30" s="202">
        <f>O30/1000000</f>
        <v>9.1461812499999996E-3</v>
      </c>
      <c r="O30" s="202">
        <f>Y30*180</f>
        <v>9146.1812499999996</v>
      </c>
      <c r="P30" s="432" t="s">
        <v>5708</v>
      </c>
      <c r="Q30" s="201" t="s">
        <v>1048</v>
      </c>
      <c r="R30" s="201"/>
      <c r="S30" s="201"/>
      <c r="T30" s="436" t="s">
        <v>5714</v>
      </c>
      <c r="U30" s="435" t="s">
        <v>70</v>
      </c>
      <c r="V30" s="434">
        <f t="shared" si="0"/>
        <v>6.3515147569444439</v>
      </c>
      <c r="W30" s="202" t="s">
        <v>1048</v>
      </c>
      <c r="X30" s="431" t="s">
        <v>5709</v>
      </c>
      <c r="Y30" s="433">
        <f t="shared" si="1"/>
        <v>50.812118055555551</v>
      </c>
      <c r="Z30" s="202">
        <v>5.5222222222222221</v>
      </c>
      <c r="AA30" s="432">
        <v>20.195555555555554</v>
      </c>
      <c r="AB30" s="202">
        <v>0.28444444444444444</v>
      </c>
      <c r="AC30" s="432">
        <v>16.3046875</v>
      </c>
      <c r="AD30" s="432">
        <v>4.395833333333333</v>
      </c>
      <c r="AE30" s="432">
        <v>4.109375</v>
      </c>
      <c r="AF30" s="439">
        <f t="shared" si="19"/>
        <v>4.3901669999999999</v>
      </c>
      <c r="AG30" s="275">
        <f t="shared" si="5"/>
        <v>0</v>
      </c>
      <c r="AH30" s="269">
        <f t="shared" si="6"/>
        <v>50.812118055555551</v>
      </c>
      <c r="AI30" s="442">
        <f>1*(IF(TRIM($AU30)="13_3",AI$5,AI$1)/AI$2)/IF(OR(TRIM(AO30)="",AO30&lt;=0),1E+38,AO30)</f>
        <v>5.5222222222222221</v>
      </c>
      <c r="AJ30" s="442">
        <f t="shared" si="24"/>
        <v>20.195555555555554</v>
      </c>
      <c r="AK30" s="442">
        <f t="shared" si="24"/>
        <v>0.28444444444444444</v>
      </c>
      <c r="AL30" s="442">
        <f t="shared" si="25"/>
        <v>16.3046875</v>
      </c>
      <c r="AM30" s="442">
        <f t="shared" ref="AM30" si="26">1*(IF(TRIM($AU30)="13_3",AM$5,AM$1)/AM$2)*(AT30/720)/IF(OR(TRIM($AR30)="",$AR30&lt;=0),1E+38,IF($AR30=103,3,IF($AR30=104,2,$AR30)))</f>
        <v>4.395833333333333</v>
      </c>
      <c r="AN30" s="442">
        <f t="shared" ref="AN30:AN36" si="27">1*(IF(TRIM($AU30)="13_3",AN$5,AN$1)/AN$2)/IF(OR(TRIM($AR30)="",$AR30&lt;=0),1E+38,IF($AR30=103,3,IF($AR30=104,2,$AR30)))</f>
        <v>4.109375</v>
      </c>
      <c r="AO30" s="285">
        <v>360</v>
      </c>
      <c r="AP30" s="285">
        <v>900</v>
      </c>
      <c r="AQ30" s="285">
        <v>1800</v>
      </c>
      <c r="AR30" s="285">
        <v>104</v>
      </c>
      <c r="AS30" s="285">
        <v>105</v>
      </c>
      <c r="AT30" s="440">
        <f t="shared" si="10"/>
        <v>5</v>
      </c>
      <c r="AU30" s="441"/>
    </row>
    <row r="31" spans="13:47" ht="15.75" thickBot="1">
      <c r="P31" s="355" t="s">
        <v>5707</v>
      </c>
      <c r="Q31" s="17" t="s">
        <v>1048</v>
      </c>
      <c r="R31" s="17"/>
      <c r="S31" s="17"/>
      <c r="T31" s="30" t="s">
        <v>5714</v>
      </c>
      <c r="U31" s="23" t="s">
        <v>70</v>
      </c>
      <c r="V31" s="40">
        <f t="shared" si="0"/>
        <v>6.9040277777777774</v>
      </c>
      <c r="W31" t="s">
        <v>1048</v>
      </c>
      <c r="X31" s="3" t="s">
        <v>5709</v>
      </c>
      <c r="Y31" s="39">
        <f t="shared" si="1"/>
        <v>55.232222222222219</v>
      </c>
      <c r="Z31">
        <v>5.5222222222222221</v>
      </c>
      <c r="AA31">
        <v>22.12</v>
      </c>
      <c r="AB31">
        <v>0.28444444444444444</v>
      </c>
      <c r="AC31">
        <v>18.28125</v>
      </c>
      <c r="AD31">
        <v>4.6180555555555554</v>
      </c>
      <c r="AE31">
        <v>4.40625</v>
      </c>
      <c r="AF31" s="272">
        <f t="shared" si="19"/>
        <v>4.7720640000000003</v>
      </c>
      <c r="AG31" s="275">
        <f t="shared" si="5"/>
        <v>0</v>
      </c>
      <c r="AH31" s="269">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85">
        <v>360</v>
      </c>
      <c r="AP31" s="285">
        <v>900</v>
      </c>
      <c r="AQ31" s="285">
        <v>1800</v>
      </c>
      <c r="AR31" s="285">
        <v>104</v>
      </c>
      <c r="AS31" s="285">
        <v>105</v>
      </c>
      <c r="AT31" s="286">
        <f t="shared" si="10"/>
        <v>5</v>
      </c>
      <c r="AU31" s="270" t="s">
        <v>5415</v>
      </c>
    </row>
    <row r="32" spans="13:47" ht="15.75" thickBot="1">
      <c r="Q32" s="17" t="s">
        <v>1253</v>
      </c>
      <c r="R32" s="17"/>
      <c r="S32" s="17" t="s">
        <v>5712</v>
      </c>
      <c r="T32" s="30" t="s">
        <v>5711</v>
      </c>
      <c r="U32" s="23" t="s">
        <v>70</v>
      </c>
      <c r="V32" s="40">
        <f t="shared" si="0"/>
        <v>0.55078125</v>
      </c>
      <c r="W32" t="s">
        <v>5705</v>
      </c>
      <c r="X32" s="3" t="s">
        <v>5709</v>
      </c>
      <c r="Y32" s="39">
        <f t="shared" si="1"/>
        <v>4.40625</v>
      </c>
      <c r="AE32">
        <v>4.40625</v>
      </c>
      <c r="AF32" s="272">
        <f t="shared" si="19"/>
        <v>0.38069999999999998</v>
      </c>
      <c r="AG32" s="275">
        <f t="shared" ref="AG32:AG36" si="28">AH32-Y32</f>
        <v>0</v>
      </c>
      <c r="AH32" s="269">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85"/>
      <c r="AP32" s="285"/>
      <c r="AQ32" s="285"/>
      <c r="AR32" s="285">
        <v>104</v>
      </c>
      <c r="AS32" s="285"/>
      <c r="AT32" s="286">
        <f t="shared" ref="AT32:AT36" si="35">IF(OR(AS32="",AS32&lt;105,AS32&gt;109),720,(336+(AS32-107)*(110+(AS32-107)*(25+(AS32-107)*(10+(AS32-107)*(-1)))))/24)</f>
        <v>720</v>
      </c>
      <c r="AU32" s="270" t="s">
        <v>5415</v>
      </c>
    </row>
    <row r="33" spans="11:47" ht="15.75" thickBot="1">
      <c r="Q33" s="17" t="s">
        <v>5713</v>
      </c>
      <c r="R33" s="17"/>
      <c r="S33" s="17" t="s">
        <v>5712</v>
      </c>
      <c r="T33" s="30" t="s">
        <v>5711</v>
      </c>
      <c r="U33" s="23" t="s">
        <v>70</v>
      </c>
      <c r="V33" s="40">
        <f t="shared" si="0"/>
        <v>5.0501562500000006</v>
      </c>
      <c r="W33" t="s">
        <v>5710</v>
      </c>
      <c r="X33" s="3" t="s">
        <v>5709</v>
      </c>
      <c r="Y33" s="39">
        <f t="shared" si="1"/>
        <v>40.401250000000005</v>
      </c>
      <c r="AA33">
        <v>22.12</v>
      </c>
      <c r="AC33">
        <v>18.28125</v>
      </c>
      <c r="AF33" s="272"/>
      <c r="AG33" s="275">
        <f t="shared" si="28"/>
        <v>0</v>
      </c>
      <c r="AH33" s="269">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85"/>
      <c r="AP33" s="285">
        <v>900</v>
      </c>
      <c r="AQ33" s="285"/>
      <c r="AR33" s="285">
        <v>104</v>
      </c>
      <c r="AS33" s="285"/>
      <c r="AT33" s="286">
        <f t="shared" si="35"/>
        <v>720</v>
      </c>
      <c r="AU33" s="270" t="s">
        <v>5415</v>
      </c>
    </row>
    <row r="34" spans="11:47" s="202" customFormat="1" ht="15.75" thickBot="1">
      <c r="P34" s="432" t="s">
        <v>5708</v>
      </c>
      <c r="Q34" s="201" t="s">
        <v>1048</v>
      </c>
      <c r="R34" s="201"/>
      <c r="S34" s="201" t="s">
        <v>5706</v>
      </c>
      <c r="T34" s="436" t="s">
        <v>1156</v>
      </c>
      <c r="U34" s="435" t="s">
        <v>70</v>
      </c>
      <c r="V34" s="434">
        <f t="shared" si="0"/>
        <v>4.9404774305555561</v>
      </c>
      <c r="W34" s="202" t="s">
        <v>1048</v>
      </c>
      <c r="X34" s="431" t="s">
        <v>1157</v>
      </c>
      <c r="Y34" s="433">
        <f t="shared" si="1"/>
        <v>39.523819444444449</v>
      </c>
      <c r="Z34" s="202">
        <v>5.5222222222222221</v>
      </c>
      <c r="AA34" s="432">
        <v>2.5244444444444443</v>
      </c>
      <c r="AB34" s="202">
        <v>0.28444444444444444</v>
      </c>
      <c r="AC34" s="432">
        <v>10.869791666666666</v>
      </c>
      <c r="AD34" s="432">
        <v>17.583333333333332</v>
      </c>
      <c r="AE34" s="432">
        <v>2.7395833333333335</v>
      </c>
      <c r="AF34" s="439">
        <f>Y34*86400/1000000</f>
        <v>3.4148580000000006</v>
      </c>
      <c r="AG34" s="275">
        <f t="shared" si="28"/>
        <v>0</v>
      </c>
      <c r="AH34" s="269">
        <f t="shared" si="29"/>
        <v>39.523819444444449</v>
      </c>
      <c r="AI34" s="442">
        <f>1*(IF(TRIM($AU34)="13_3",AI$5,AI$1)/AI$2)/IF(OR(TRIM(AO34)="",AO34&lt;=0),1E+38,AO34)</f>
        <v>5.5222222222222221</v>
      </c>
      <c r="AJ34" s="442">
        <f>1*(IF(TRIM($AU34)="13_3",AJ$5,AJ$1)/AJ$2)/IF(OR(TRIM(AP34)="",AP34&lt;=0),1E+38,AP34)</f>
        <v>2.5244444444444443</v>
      </c>
      <c r="AK34" s="442">
        <f>1*(IF(TRIM($AU34)="13_3",AK$5,AK$1)/AK$2)/IF(OR(TRIM(AQ34)="",AQ34&lt;=0),1E+38,AQ34)</f>
        <v>0.28444444444444444</v>
      </c>
      <c r="AL34" s="442">
        <f>1*(IF(TRIM($AU34)="13_3",AL$5,AL$1)/AL$2)/IF(OR(TRIM($AR34)="",$AR34&lt;=0),1E+38,IF($AR34=103,3,IF($AR34=104,2,$AR34)))</f>
        <v>10.869791666666666</v>
      </c>
      <c r="AM34" s="442">
        <f>1*(IF(TRIM($AU34)="13_3",AM$5,AM$1)/AM$2)*(AT34/720)/IF(OR(TRIM($AR34)="",$AR34&lt;=0),1E+38,IF($AR34=103,3,IF($AR34=104,2,$AR34)))</f>
        <v>17.583333333333332</v>
      </c>
      <c r="AN34" s="442">
        <f t="shared" si="27"/>
        <v>2.7395833333333335</v>
      </c>
      <c r="AO34" s="285">
        <v>360</v>
      </c>
      <c r="AP34" s="285">
        <v>7200</v>
      </c>
      <c r="AQ34" s="285">
        <v>1800</v>
      </c>
      <c r="AR34" s="285">
        <v>103</v>
      </c>
      <c r="AS34" s="285">
        <v>109</v>
      </c>
      <c r="AT34" s="440">
        <f t="shared" si="35"/>
        <v>30</v>
      </c>
      <c r="AU34" s="441"/>
    </row>
    <row r="35" spans="11:47" ht="15.75" thickBot="1">
      <c r="P35" s="355" t="s">
        <v>5707</v>
      </c>
      <c r="Q35" s="17" t="s">
        <v>1048</v>
      </c>
      <c r="R35" s="17"/>
      <c r="S35" s="17" t="s">
        <v>5706</v>
      </c>
      <c r="T35" s="30" t="s">
        <v>1156</v>
      </c>
      <c r="U35" s="23" t="s">
        <v>70</v>
      </c>
      <c r="V35" s="40">
        <f t="shared" si="0"/>
        <v>5.2711111111111109</v>
      </c>
      <c r="W35" t="s">
        <v>1048</v>
      </c>
      <c r="X35" s="3" t="s">
        <v>1157</v>
      </c>
      <c r="Y35" s="39">
        <f t="shared" si="1"/>
        <v>42.168888888888887</v>
      </c>
      <c r="Z35">
        <v>5.5222222222222221</v>
      </c>
      <c r="AA35" s="355">
        <v>2.7650000000000001</v>
      </c>
      <c r="AB35">
        <v>0.28444444444444444</v>
      </c>
      <c r="AC35" s="355">
        <v>12.1875</v>
      </c>
      <c r="AD35" s="355">
        <v>18.472222222222221</v>
      </c>
      <c r="AE35" s="355">
        <v>2.9375000000000004</v>
      </c>
      <c r="AF35" s="272">
        <f>Y35*86400/1000000</f>
        <v>3.643392</v>
      </c>
      <c r="AG35" s="275">
        <f t="shared" si="28"/>
        <v>0</v>
      </c>
      <c r="AH35" s="269">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85">
        <v>360</v>
      </c>
      <c r="AP35" s="285">
        <v>7200</v>
      </c>
      <c r="AQ35" s="285">
        <v>1800</v>
      </c>
      <c r="AR35" s="285">
        <v>103</v>
      </c>
      <c r="AS35" s="285">
        <v>109</v>
      </c>
      <c r="AT35" s="286">
        <f t="shared" si="35"/>
        <v>30</v>
      </c>
      <c r="AU35" s="270" t="s">
        <v>5415</v>
      </c>
    </row>
    <row r="36" spans="11:47" ht="15">
      <c r="Q36" s="17" t="s">
        <v>1253</v>
      </c>
      <c r="R36" s="17"/>
      <c r="S36" s="17">
        <v>26179</v>
      </c>
      <c r="T36" s="30" t="s">
        <v>1156</v>
      </c>
      <c r="U36" s="23" t="s">
        <v>70</v>
      </c>
      <c r="V36" s="40">
        <f t="shared" si="0"/>
        <v>0.36718750000000006</v>
      </c>
      <c r="W36" t="s">
        <v>5705</v>
      </c>
      <c r="X36" s="3" t="s">
        <v>1157</v>
      </c>
      <c r="Y36" s="39">
        <f t="shared" si="1"/>
        <v>2.9375000000000004</v>
      </c>
      <c r="AE36">
        <v>2.9375000000000004</v>
      </c>
      <c r="AF36" s="272">
        <f>Y36*86400/1000000</f>
        <v>0.25380000000000003</v>
      </c>
      <c r="AG36" s="275">
        <f t="shared" si="28"/>
        <v>0</v>
      </c>
      <c r="AH36" s="269">
        <f t="shared" si="29"/>
        <v>2.9375</v>
      </c>
      <c r="AI36" s="209">
        <f t="shared" si="30"/>
        <v>0</v>
      </c>
      <c r="AJ36" s="209">
        <f t="shared" si="31"/>
        <v>0</v>
      </c>
      <c r="AK36" s="209">
        <f t="shared" si="32"/>
        <v>0</v>
      </c>
      <c r="AL36" s="209">
        <f t="shared" si="33"/>
        <v>0</v>
      </c>
      <c r="AM36" s="209">
        <f t="shared" si="34"/>
        <v>0</v>
      </c>
      <c r="AN36" s="209">
        <f t="shared" si="27"/>
        <v>2.9375</v>
      </c>
      <c r="AO36" s="287"/>
      <c r="AP36" s="287"/>
      <c r="AQ36" s="287"/>
      <c r="AR36" s="287">
        <v>103</v>
      </c>
      <c r="AS36" s="287"/>
      <c r="AT36" s="288">
        <f t="shared" si="35"/>
        <v>720</v>
      </c>
      <c r="AU36" s="271" t="s">
        <v>5415</v>
      </c>
    </row>
    <row r="37" spans="11:47" ht="15.75" thickBot="1">
      <c r="Z37" s="3" t="s">
        <v>49</v>
      </c>
      <c r="AA37" s="3" t="s">
        <v>50</v>
      </c>
      <c r="AB37" s="3" t="s">
        <v>51</v>
      </c>
      <c r="AC37" s="3" t="s">
        <v>52</v>
      </c>
      <c r="AD37" s="3" t="s">
        <v>53</v>
      </c>
      <c r="AE37" s="3" t="s">
        <v>54</v>
      </c>
      <c r="AF37" s="272"/>
      <c r="AG37" s="280"/>
      <c r="AI37" s="3" t="s">
        <v>49</v>
      </c>
      <c r="AJ37" s="3" t="s">
        <v>50</v>
      </c>
      <c r="AK37" s="3" t="s">
        <v>51</v>
      </c>
      <c r="AL37" s="3" t="s">
        <v>52</v>
      </c>
      <c r="AM37" s="3" t="s">
        <v>53</v>
      </c>
      <c r="AN37" s="3" t="s">
        <v>54</v>
      </c>
      <c r="AO37" s="276" t="s">
        <v>5402</v>
      </c>
      <c r="AP37" s="276" t="s">
        <v>5402</v>
      </c>
      <c r="AQ37" s="276" t="s">
        <v>5402</v>
      </c>
      <c r="AR37" s="276" t="s">
        <v>5402</v>
      </c>
      <c r="AS37" s="276" t="s">
        <v>5405</v>
      </c>
      <c r="AT37" s="266" t="s">
        <v>5406</v>
      </c>
      <c r="AU37" s="266" t="s">
        <v>5417</v>
      </c>
    </row>
    <row r="38" spans="11:47" ht="15">
      <c r="U38" s="37" t="s">
        <v>97</v>
      </c>
      <c r="V38" s="24">
        <v>197375</v>
      </c>
      <c r="Z38" s="3" t="s">
        <v>1</v>
      </c>
      <c r="AA38" s="3" t="s">
        <v>58</v>
      </c>
      <c r="AB38" s="4" t="s">
        <v>59</v>
      </c>
      <c r="AC38" s="3" t="s">
        <v>60</v>
      </c>
      <c r="AD38" s="3" t="s">
        <v>61</v>
      </c>
      <c r="AE38" s="3" t="s">
        <v>62</v>
      </c>
      <c r="AF38" s="272" t="s">
        <v>63</v>
      </c>
      <c r="AG38" s="280"/>
      <c r="AI38" s="3" t="s">
        <v>1</v>
      </c>
      <c r="AJ38" s="3" t="s">
        <v>58</v>
      </c>
      <c r="AK38" s="3" t="s">
        <v>59</v>
      </c>
      <c r="AL38" s="3" t="s">
        <v>60</v>
      </c>
      <c r="AM38" s="3" t="s">
        <v>61</v>
      </c>
      <c r="AN38" s="3" t="s">
        <v>62</v>
      </c>
      <c r="AO38" s="278" t="s">
        <v>1</v>
      </c>
      <c r="AP38" s="278" t="s">
        <v>58</v>
      </c>
      <c r="AQ38" s="278" t="s">
        <v>5284</v>
      </c>
      <c r="AR38" s="278" t="s">
        <v>5403</v>
      </c>
      <c r="AS38" s="278" t="s">
        <v>5404</v>
      </c>
      <c r="AT38" s="271" t="s">
        <v>5407</v>
      </c>
      <c r="AU38" s="271" t="s">
        <v>5416</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73" t="s">
        <v>5419</v>
      </c>
      <c r="AJ40" s="273" t="s">
        <v>5419</v>
      </c>
      <c r="AK40" s="273" t="s">
        <v>5419</v>
      </c>
      <c r="AL40" s="273" t="s">
        <v>5419</v>
      </c>
      <c r="AM40" s="273" t="s">
        <v>5419</v>
      </c>
      <c r="AN40" s="273" t="s">
        <v>5419</v>
      </c>
      <c r="AR40" s="273" t="s">
        <v>5419</v>
      </c>
      <c r="AS40" s="273" t="s">
        <v>5419</v>
      </c>
    </row>
    <row r="41" spans="11:47" ht="15">
      <c r="P41" s="46" t="s">
        <v>109</v>
      </c>
      <c r="Q41" s="46" t="s">
        <v>110</v>
      </c>
      <c r="R41" s="46">
        <v>606480128</v>
      </c>
      <c r="S41" s="46">
        <v>0</v>
      </c>
      <c r="T41" s="46" t="s">
        <v>111</v>
      </c>
      <c r="U41" s="46" t="s">
        <v>112</v>
      </c>
      <c r="V41" s="46" t="s">
        <v>113</v>
      </c>
      <c r="W41" s="46"/>
      <c r="X41" s="46" t="s">
        <v>114</v>
      </c>
      <c r="Y41" s="49"/>
      <c r="AI41" s="3" t="s">
        <v>5418</v>
      </c>
      <c r="AJ41" s="3" t="s">
        <v>5418</v>
      </c>
      <c r="AK41" s="3" t="s">
        <v>5418</v>
      </c>
      <c r="AL41" s="3" t="s">
        <v>5418</v>
      </c>
      <c r="AM41" s="3" t="s">
        <v>5418</v>
      </c>
      <c r="AN41" s="3" t="s">
        <v>5418</v>
      </c>
      <c r="AR41" s="3" t="s">
        <v>5418</v>
      </c>
      <c r="AS41" s="3" t="s">
        <v>5418</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44">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44">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44">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44">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44">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44">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44">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44">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44">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44">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44">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44">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44">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44">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44">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30">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44">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44">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44">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44">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44">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44">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44">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44">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44">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44">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5704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44">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44">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44">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44">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44">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44">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44">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44">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44">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44">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44">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44">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44">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26" t="s">
        <v>826</v>
      </c>
      <c r="Z167" s="426"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29">
        <f>R167</f>
        <v>613555366</v>
      </c>
      <c r="S168" s="21">
        <f>R168-Q168</f>
        <v>196858.73855447769</v>
      </c>
      <c r="T168" s="21">
        <f>S168*$V$12</f>
        <v>608370.4000780835</v>
      </c>
      <c r="U168" s="3">
        <v>0</v>
      </c>
      <c r="V168" s="27">
        <f>T168+U168*$V$38</f>
        <v>608370.4000780835</v>
      </c>
      <c r="W168" s="20">
        <f>AA168*1000000/8</f>
        <v>1001000.0000000001</v>
      </c>
      <c r="X168" s="344">
        <f>W168-V168</f>
        <v>392629.59992191661</v>
      </c>
      <c r="Y168" s="343">
        <f>S168*$V$24+U168*$V$38</f>
        <v>646715.13301579049</v>
      </c>
      <c r="Z168" s="342">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28">
        <f>R170</f>
        <v>613559216</v>
      </c>
      <c r="S169" s="21">
        <f>R169-Q169</f>
        <v>3851</v>
      </c>
      <c r="T169" s="21">
        <f>S169*$V$15</f>
        <v>6668.6483333333099</v>
      </c>
      <c r="U169" s="3">
        <v>0</v>
      </c>
      <c r="V169" s="27">
        <f>T169+U169*$V$38</f>
        <v>6668.6483333333099</v>
      </c>
      <c r="W169" s="27">
        <f>X168</f>
        <v>392629.59992191661</v>
      </c>
      <c r="X169" s="344">
        <f>W169-V169</f>
        <v>385960.9515885833</v>
      </c>
      <c r="Y169" s="343">
        <f>S169*$V$25+U169*$V$38</f>
        <v>6784.445763888868</v>
      </c>
      <c r="Z169" s="342">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44">
        <f t="shared" ref="X171:X197" si="85">W171-V171</f>
        <v>1.257285475730896E-8</v>
      </c>
      <c r="Y171" s="343">
        <f>S171*$V$26+U171*$V$38</f>
        <v>399585.03174135741</v>
      </c>
      <c r="Z171" s="342">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28">
        <f>R170</f>
        <v>613559216</v>
      </c>
      <c r="S172" s="21">
        <f t="shared" si="83"/>
        <v>1263961.3390873671</v>
      </c>
      <c r="T172" s="21">
        <f>S172*$V$14</f>
        <v>432840.92731767852</v>
      </c>
      <c r="U172" s="3">
        <v>0</v>
      </c>
      <c r="V172" s="27">
        <f t="shared" si="84"/>
        <v>432840.92731767852</v>
      </c>
      <c r="W172" s="20">
        <f>AA172*1000000/8</f>
        <v>1197625.0000000002</v>
      </c>
      <c r="X172" s="344">
        <f t="shared" si="85"/>
        <v>764784.07268232177</v>
      </c>
      <c r="Y172" s="343">
        <f>S172*$V$26+U172*$V$38</f>
        <v>464110.80419614259</v>
      </c>
      <c r="Z172" s="342">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27">
        <f>R172-1</f>
        <v>613559215</v>
      </c>
      <c r="R173" s="129">
        <v>613766276</v>
      </c>
      <c r="S173" s="21">
        <f t="shared" si="83"/>
        <v>207061</v>
      </c>
      <c r="T173" s="21">
        <f>S173*$V$17</f>
        <v>439979.46133680444</v>
      </c>
      <c r="U173" s="3">
        <v>0</v>
      </c>
      <c r="V173" s="27">
        <f t="shared" si="84"/>
        <v>439979.46133680444</v>
      </c>
      <c r="W173" s="136">
        <f>X172</f>
        <v>764784.07268232177</v>
      </c>
      <c r="X173" s="344">
        <f t="shared" si="85"/>
        <v>324804.61134551733</v>
      </c>
      <c r="Y173" s="343">
        <f>S173*$V$27+U173*$V$38</f>
        <v>448936.52716435055</v>
      </c>
      <c r="Z173" s="342">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44">
        <f t="shared" si="85"/>
        <v>-5.9546437114477158E-8</v>
      </c>
      <c r="Y174" s="344"/>
      <c r="Z174" s="344"/>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44">
        <f t="shared" si="85"/>
        <v>-6.5658241510391235E-8</v>
      </c>
      <c r="Y175" s="344"/>
      <c r="Z175" s="344"/>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44">
        <f t="shared" si="85"/>
        <v>1.3574026525020599E-7</v>
      </c>
      <c r="Y176" s="344"/>
      <c r="Z176" s="344"/>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44">
        <f t="shared" si="85"/>
        <v>-1.280568540096283E-7</v>
      </c>
      <c r="Y177" s="344"/>
      <c r="Z177" s="344"/>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44">
        <f t="shared" si="85"/>
        <v>2.1158484742045403E-7</v>
      </c>
      <c r="Y178" s="344"/>
      <c r="Z178" s="344"/>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44">
        <f t="shared" si="85"/>
        <v>1.0221265256404877E-7</v>
      </c>
      <c r="Y179" s="344"/>
      <c r="Z179" s="344"/>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44">
        <f t="shared" si="85"/>
        <v>-1.5646219253540039E-7</v>
      </c>
      <c r="Y180" s="344"/>
      <c r="Z180" s="344"/>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44">
        <f t="shared" si="85"/>
        <v>-2.0302832126617432E-7</v>
      </c>
      <c r="Y181" s="344"/>
      <c r="Z181" s="344"/>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44">
        <f t="shared" si="85"/>
        <v>2.3050233721733093E-8</v>
      </c>
      <c r="Y182" s="344"/>
      <c r="Z182" s="344"/>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44">
        <f t="shared" si="85"/>
        <v>-1.4482066035270691E-7</v>
      </c>
      <c r="Y183" s="344"/>
      <c r="Z183" s="344"/>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44">
        <f t="shared" si="85"/>
        <v>8.2654878497123718E-8</v>
      </c>
      <c r="Y184" s="344"/>
      <c r="Z184" s="344"/>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44">
        <f t="shared" si="85"/>
        <v>1.9511207938194275E-7</v>
      </c>
      <c r="Y185" s="344"/>
      <c r="Z185" s="344"/>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44">
        <f t="shared" si="85"/>
        <v>-1.2977398000657558E-7</v>
      </c>
      <c r="Y186" s="344"/>
      <c r="Z186" s="344"/>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44">
        <f t="shared" si="85"/>
        <v>-2.4330802261829376E-8</v>
      </c>
      <c r="Y187" s="344"/>
      <c r="Z187" s="344"/>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44">
        <f t="shared" si="85"/>
        <v>-1.9709113985300064E-7</v>
      </c>
      <c r="Y188" s="344"/>
      <c r="Z188" s="344"/>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44">
        <f t="shared" si="85"/>
        <v>-2.1548476070165634E-7</v>
      </c>
      <c r="Y189" s="344"/>
      <c r="Z189" s="344"/>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44">
        <f t="shared" si="85"/>
        <v>-4.7992216423153877E-8</v>
      </c>
      <c r="Y190" s="344"/>
      <c r="Z190" s="344"/>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44">
        <f t="shared" si="85"/>
        <v>-1.1362135410308838E-7</v>
      </c>
      <c r="Y191" s="344"/>
      <c r="Z191" s="344"/>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44">
        <f t="shared" si="85"/>
        <v>-7.4494164437055588E-7</v>
      </c>
      <c r="Y192" s="343">
        <f>S192*$V$28+U192*$V$38</f>
        <v>1009712.6777259004</v>
      </c>
      <c r="Z192" s="342">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44">
        <f t="shared" si="85"/>
        <v>-2.4138716980814934E-6</v>
      </c>
      <c r="Y193" s="343">
        <f>S193*$V$28+U193*$V$38</f>
        <v>1089160.7424985857</v>
      </c>
      <c r="Z193" s="342">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44">
        <f t="shared" si="85"/>
        <v>-6.0652382671833038E-8</v>
      </c>
      <c r="Y194" s="343">
        <f>S194*$V$27+U194*$V$38</f>
        <v>879676.07011845079</v>
      </c>
      <c r="Z194" s="342">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44">
        <f t="shared" si="85"/>
        <v>-7.4505805969238281E-8</v>
      </c>
      <c r="Y195" s="343">
        <f>S195*$V$27+U195*$V$38</f>
        <v>1801441.9043573509</v>
      </c>
      <c r="Z195" s="342">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44">
        <f t="shared" si="85"/>
        <v>1255305.7062501439</v>
      </c>
      <c r="Y196" s="343">
        <f>S196*$V$27+U196*$V$38</f>
        <v>721208.66302418872</v>
      </c>
      <c r="Z196" s="342">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44">
        <f t="shared" si="85"/>
        <v>1.6996636986732483E-8</v>
      </c>
      <c r="Y197" s="343">
        <f>S197*$V$29+U197*$V$38</f>
        <v>1401345.9533638111</v>
      </c>
      <c r="Z197" s="342">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26">
        <f>SUM(Y168:Y197)-SUM(V168:V173)-SUM(V192:V197)</f>
        <v>407232.56431206875</v>
      </c>
      <c r="AA198" s="426">
        <f>Y198*8/1000000</f>
        <v>3.2578605144965498</v>
      </c>
      <c r="AB198" s="425"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44">
        <f>W201-V201</f>
        <v>-2.0721927285194397E-8</v>
      </c>
      <c r="Y201" s="344"/>
      <c r="Z201" s="344"/>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44">
        <f>W202-V202</f>
        <v>-7.7532604336738586E-8</v>
      </c>
      <c r="Y202" s="344"/>
      <c r="Z202" s="344"/>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44">
        <f>W203-V203</f>
        <v>-5.8964360505342484E-8</v>
      </c>
      <c r="Y203" s="344"/>
      <c r="Z203" s="344"/>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44">
        <f t="shared" ref="X218:X225" si="100">W218-V218</f>
        <v>8.5390638560056686E-8</v>
      </c>
      <c r="Y218" s="344"/>
      <c r="Z218" s="344"/>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44">
        <f t="shared" si="100"/>
        <v>0</v>
      </c>
      <c r="Y219" s="344"/>
      <c r="Z219" s="344"/>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44">
        <f t="shared" si="100"/>
        <v>7.6135620474815369E-8</v>
      </c>
      <c r="Y220" s="344"/>
      <c r="Z220" s="344"/>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44">
        <f t="shared" si="100"/>
        <v>-1.9150320440530777E-7</v>
      </c>
      <c r="Y221" s="344"/>
      <c r="Z221" s="344"/>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44">
        <f t="shared" si="100"/>
        <v>1088144.6668402778</v>
      </c>
      <c r="Y222" s="343">
        <f>S222*$V$29+U222*$V$38</f>
        <v>6410.8843750000005</v>
      </c>
      <c r="Z222" s="342">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81"/>
      <c r="L223" s="79" t="s">
        <v>787</v>
      </c>
      <c r="M223" s="79" t="s">
        <v>788</v>
      </c>
      <c r="O223" s="85"/>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44">
        <f t="shared" si="100"/>
        <v>757846.93350694492</v>
      </c>
      <c r="Y223" s="343">
        <f>S223*$V$29+U223*$V$38</f>
        <v>340844.23750000005</v>
      </c>
      <c r="Z223" s="342">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44">
        <f t="shared" si="100"/>
        <v>-8.1374309957027435E-8</v>
      </c>
      <c r="Y224" s="343">
        <f>S224*$V$29+U224*$V$38</f>
        <v>791769.51121106185</v>
      </c>
      <c r="Z224" s="342">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44">
        <f t="shared" si="100"/>
        <v>-1.8789432942867279E-7</v>
      </c>
      <c r="Y225" s="344"/>
      <c r="Z225" s="344"/>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24"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44">
        <f t="shared" ref="X234:X245" si="108">W234-V234</f>
        <v>-3.9581209421157837E-8</v>
      </c>
      <c r="Y234" s="344"/>
      <c r="Z234" s="344"/>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44">
        <f t="shared" si="108"/>
        <v>-3.9581209421157837E-8</v>
      </c>
      <c r="Y235" s="344"/>
      <c r="Z235" s="344"/>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44">
        <f t="shared" si="108"/>
        <v>-3.9581209421157837E-8</v>
      </c>
      <c r="Y236" s="344"/>
      <c r="Z236" s="344"/>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44">
        <f t="shared" si="108"/>
        <v>-3.9581209421157837E-8</v>
      </c>
      <c r="Y237" s="344"/>
      <c r="Z237" s="344"/>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44">
        <f t="shared" si="108"/>
        <v>-3.9581209421157837E-8</v>
      </c>
      <c r="Y238" s="344"/>
      <c r="Z238" s="344"/>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44">
        <f t="shared" si="108"/>
        <v>-3.9581209421157837E-8</v>
      </c>
      <c r="Y239" s="344"/>
      <c r="Z239" s="344"/>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44">
        <f t="shared" si="108"/>
        <v>-3.9581209421157837E-8</v>
      </c>
      <c r="Y240" s="344"/>
      <c r="Z240" s="344"/>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44">
        <f t="shared" si="108"/>
        <v>-3.9581209421157837E-8</v>
      </c>
      <c r="Y241" s="344"/>
      <c r="Z241" s="344"/>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44">
        <f t="shared" si="108"/>
        <v>-3.9581209421157837E-8</v>
      </c>
      <c r="Y242" s="344"/>
      <c r="Z242" s="344"/>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44">
        <f t="shared" si="108"/>
        <v>-3.9581209421157837E-8</v>
      </c>
      <c r="Y243" s="344"/>
      <c r="Z243" s="344"/>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44">
        <f t="shared" si="108"/>
        <v>-3.9581209421157837E-8</v>
      </c>
      <c r="Y244" s="344"/>
      <c r="Z244" s="344"/>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44">
        <f t="shared" si="108"/>
        <v>-3.9581209421157837E-8</v>
      </c>
      <c r="Y245" s="344"/>
      <c r="Z245" s="344"/>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44">
        <f>W249-V249</f>
        <v>0</v>
      </c>
      <c r="Y249" s="343">
        <f>S249*$V$27+U249*$V$38</f>
        <v>510178.95903632819</v>
      </c>
      <c r="Z249" s="342">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22" t="s">
        <v>947</v>
      </c>
      <c r="Q270" s="423" t="s">
        <v>948</v>
      </c>
      <c r="R270" s="423">
        <v>644923315</v>
      </c>
      <c r="S270" s="422">
        <v>7</v>
      </c>
      <c r="T270" s="422" t="s">
        <v>27</v>
      </c>
      <c r="U270" s="422" t="s">
        <v>298</v>
      </c>
      <c r="V270" s="423" t="s">
        <v>151</v>
      </c>
      <c r="W270" s="422" t="s">
        <v>152</v>
      </c>
      <c r="X270" s="422" t="s">
        <v>949</v>
      </c>
    </row>
    <row r="271" spans="16:25" ht="13.5" customHeight="1">
      <c r="P271" s="422" t="s">
        <v>950</v>
      </c>
      <c r="Q271" s="422" t="s">
        <v>951</v>
      </c>
      <c r="R271" s="423">
        <v>644924995</v>
      </c>
      <c r="S271" s="422">
        <v>0</v>
      </c>
      <c r="T271" s="422" t="s">
        <v>409</v>
      </c>
      <c r="U271" s="422" t="s">
        <v>952</v>
      </c>
      <c r="V271" s="422" t="s">
        <v>802</v>
      </c>
      <c r="W271" s="422"/>
      <c r="X271" s="422" t="s">
        <v>949</v>
      </c>
    </row>
    <row r="272" spans="16:25" ht="13.5" customHeight="1">
      <c r="P272" s="422" t="s">
        <v>953</v>
      </c>
      <c r="Q272" s="422" t="s">
        <v>954</v>
      </c>
      <c r="R272" s="422">
        <v>644924998</v>
      </c>
      <c r="S272" s="422">
        <v>0</v>
      </c>
      <c r="T272" s="422" t="s">
        <v>409</v>
      </c>
      <c r="U272" s="422" t="s">
        <v>952</v>
      </c>
      <c r="V272" s="422" t="s">
        <v>808</v>
      </c>
      <c r="W272" s="422"/>
      <c r="X272" s="422" t="s">
        <v>949</v>
      </c>
    </row>
    <row r="273" spans="1:43" ht="13.5" customHeight="1">
      <c r="P273" s="422" t="s">
        <v>955</v>
      </c>
      <c r="Q273" s="422" t="s">
        <v>956</v>
      </c>
      <c r="R273" s="422">
        <v>644925001</v>
      </c>
      <c r="S273" s="422">
        <v>0</v>
      </c>
      <c r="T273" s="422" t="s">
        <v>409</v>
      </c>
      <c r="U273" s="422" t="s">
        <v>952</v>
      </c>
      <c r="V273" s="422" t="s">
        <v>813</v>
      </c>
      <c r="W273" s="422"/>
      <c r="X273" s="422" t="s">
        <v>949</v>
      </c>
    </row>
    <row r="274" spans="1:43" ht="13.5" customHeight="1">
      <c r="P274" s="422" t="s">
        <v>957</v>
      </c>
      <c r="Q274" s="422" t="s">
        <v>958</v>
      </c>
      <c r="R274" s="422">
        <v>644925004</v>
      </c>
      <c r="S274" s="422">
        <v>0</v>
      </c>
      <c r="T274" s="422" t="s">
        <v>409</v>
      </c>
      <c r="U274" s="422" t="s">
        <v>952</v>
      </c>
      <c r="V274" s="422" t="s">
        <v>449</v>
      </c>
      <c r="W274" s="422"/>
      <c r="X274" s="422" t="s">
        <v>949</v>
      </c>
    </row>
    <row r="275" spans="1:43" ht="13.5" customHeight="1">
      <c r="L275">
        <f>265057</f>
        <v>265057</v>
      </c>
      <c r="M275">
        <v>21845</v>
      </c>
      <c r="P275" s="422" t="s">
        <v>959</v>
      </c>
      <c r="Q275" s="422" t="s">
        <v>960</v>
      </c>
      <c r="R275" s="422">
        <v>644925055</v>
      </c>
      <c r="S275" s="422">
        <v>0</v>
      </c>
      <c r="T275" s="422" t="s">
        <v>409</v>
      </c>
      <c r="U275" s="422" t="s">
        <v>952</v>
      </c>
      <c r="V275" s="423" t="s">
        <v>940</v>
      </c>
      <c r="W275" s="422"/>
      <c r="X275" s="422" t="s">
        <v>949</v>
      </c>
    </row>
    <row r="276" spans="1:43" ht="13.5" customHeight="1">
      <c r="L276">
        <f>L275*8/1000000</f>
        <v>2.1204559999999999</v>
      </c>
      <c r="M276">
        <f>M275*8/1000000</f>
        <v>0.17476</v>
      </c>
      <c r="P276" s="422" t="s">
        <v>961</v>
      </c>
      <c r="Q276" s="422" t="s">
        <v>962</v>
      </c>
      <c r="R276" s="422">
        <v>644925655</v>
      </c>
      <c r="S276" s="422">
        <v>0</v>
      </c>
      <c r="T276" s="422" t="s">
        <v>409</v>
      </c>
      <c r="U276" s="422" t="s">
        <v>952</v>
      </c>
      <c r="V276" s="422" t="s">
        <v>818</v>
      </c>
      <c r="W276" s="422"/>
      <c r="X276" s="422" t="s">
        <v>949</v>
      </c>
    </row>
    <row r="277" spans="1:43" ht="13.5" customHeight="1">
      <c r="P277" s="422" t="s">
        <v>963</v>
      </c>
      <c r="Q277" s="422" t="s">
        <v>964</v>
      </c>
      <c r="R277" s="422">
        <v>644926255</v>
      </c>
      <c r="S277" s="422">
        <v>0</v>
      </c>
      <c r="T277" s="422" t="s">
        <v>409</v>
      </c>
      <c r="U277" s="422" t="s">
        <v>952</v>
      </c>
      <c r="V277" s="422" t="s">
        <v>965</v>
      </c>
      <c r="W277" s="422"/>
      <c r="X277" s="422" t="s">
        <v>949</v>
      </c>
    </row>
    <row r="278" spans="1:43" ht="13.5" customHeight="1">
      <c r="P278" s="421"/>
      <c r="Q278" s="421"/>
      <c r="R278" s="421"/>
      <c r="S278" s="421"/>
      <c r="T278" s="421"/>
      <c r="U278" s="421"/>
      <c r="V278" s="421"/>
      <c r="W278" s="421"/>
      <c r="X278" s="421"/>
    </row>
    <row r="279" spans="1:43" ht="13.5" customHeight="1">
      <c r="O279" t="s">
        <v>1053</v>
      </c>
      <c r="P279" s="289" t="s">
        <v>1049</v>
      </c>
      <c r="Q279" s="289" t="s">
        <v>1050</v>
      </c>
      <c r="R279" s="289">
        <v>644288021</v>
      </c>
      <c r="S279" s="289">
        <v>1</v>
      </c>
      <c r="T279" s="289" t="s">
        <v>27</v>
      </c>
      <c r="U279" s="289" t="s">
        <v>1051</v>
      </c>
      <c r="V279" s="289" t="s">
        <v>28</v>
      </c>
      <c r="W279" s="289"/>
      <c r="X279" s="289"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5565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44">
        <f>W281-V281</f>
        <v>516166.25</v>
      </c>
      <c r="Y281" s="343"/>
      <c r="Z281" s="342"/>
      <c r="AA281" s="78">
        <f>AQ281+0.1</f>
        <v>9.2293299999999991</v>
      </c>
      <c r="AD281" s="180">
        <f>AK281</f>
        <v>5.0999999999999996</v>
      </c>
      <c r="AE281" s="100"/>
      <c r="AH281" s="290" t="str">
        <f>AL281</f>
        <v>TRK_194_1</v>
      </c>
      <c r="AI281" s="420" t="s">
        <v>999</v>
      </c>
      <c r="AJ281" s="41">
        <f>X281*8/1000000</f>
        <v>4.1293300000000004</v>
      </c>
      <c r="AK281" s="41">
        <f>V281*8/1000000</f>
        <v>5.0999999999999996</v>
      </c>
      <c r="AL281" s="291" t="s">
        <v>966</v>
      </c>
      <c r="AM281" s="291" t="s">
        <v>967</v>
      </c>
      <c r="AN281">
        <v>0.27261099999999999</v>
      </c>
      <c r="AO281">
        <v>1.3100350000000001</v>
      </c>
      <c r="AP281">
        <v>1.0374239999999999</v>
      </c>
      <c r="AQ281" s="281">
        <v>9.1293299999999995</v>
      </c>
    </row>
    <row r="282" spans="1:43" ht="13.5" customHeight="1">
      <c r="A282" t="s">
        <v>5703</v>
      </c>
      <c r="C282" s="3">
        <v>104</v>
      </c>
      <c r="D282" s="3">
        <v>105</v>
      </c>
      <c r="E282" s="3"/>
      <c r="F282" s="3"/>
      <c r="G282" s="3" t="s">
        <v>50</v>
      </c>
      <c r="H282" s="3"/>
      <c r="I282" s="3"/>
      <c r="L282" s="79" t="s">
        <v>1000</v>
      </c>
      <c r="M282" s="79" t="s">
        <v>1036</v>
      </c>
      <c r="N282" t="s">
        <v>1035</v>
      </c>
      <c r="O282" s="85"/>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44">
        <f>W282-V282</f>
        <v>-6.8452209234237671E-8</v>
      </c>
      <c r="Y282" s="343"/>
      <c r="Z282" s="342"/>
      <c r="AA282" s="78"/>
      <c r="AD282" s="119">
        <f>AK282</f>
        <v>4.1293300000005475</v>
      </c>
      <c r="AE282" s="100"/>
      <c r="AH282" s="290"/>
      <c r="AI282" s="420"/>
      <c r="AJ282" s="41">
        <f>X282*8/1000000</f>
        <v>-5.4761767387390135E-13</v>
      </c>
      <c r="AK282" s="41">
        <f>V282*8/1000000</f>
        <v>4.1293300000005475</v>
      </c>
      <c r="AL282" s="291"/>
      <c r="AM282" s="291"/>
      <c r="AQ282" s="281"/>
    </row>
    <row r="283" spans="1:43" ht="13.5" customHeight="1">
      <c r="A283" t="s">
        <v>5703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44">
        <f>W283-V283</f>
        <v>-6.4726918935775757E-8</v>
      </c>
      <c r="Y283" s="343"/>
      <c r="Z283" s="342"/>
      <c r="AA283" s="78">
        <f>AQ283</f>
        <v>15.029629999999999</v>
      </c>
      <c r="AD283" s="119">
        <f>AD282+AK283</f>
        <v>19.158960000001066</v>
      </c>
      <c r="AE283" s="100"/>
      <c r="AH283" s="291" t="s">
        <v>968</v>
      </c>
      <c r="AI283" s="291" t="s">
        <v>998</v>
      </c>
      <c r="AJ283" s="41">
        <f>X283*8/1000000</f>
        <v>-5.1781535148620602E-13</v>
      </c>
      <c r="AK283" s="41">
        <f>V283*8/1000000</f>
        <v>15.029630000000518</v>
      </c>
      <c r="AL283" s="291" t="s">
        <v>968</v>
      </c>
      <c r="AM283" s="291" t="s">
        <v>969</v>
      </c>
      <c r="AN283">
        <v>0.20042599999999999</v>
      </c>
      <c r="AO283">
        <v>1.9083380000000001</v>
      </c>
      <c r="AP283">
        <v>1.7079120000000001</v>
      </c>
      <c r="AQ283" s="281">
        <v>15.029629999999999</v>
      </c>
    </row>
    <row r="284" spans="1:43" ht="13.5" customHeight="1">
      <c r="A284" t="s">
        <v>5703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44">
        <f>W284-V284</f>
        <v>6.6822394728660583E-8</v>
      </c>
      <c r="Y284" s="343"/>
      <c r="Z284" s="342"/>
      <c r="AA284" s="78">
        <f>AQ284</f>
        <v>9.0957380000000008</v>
      </c>
      <c r="AD284" s="119">
        <f>AD283+AK284</f>
        <v>28.254698000000531</v>
      </c>
      <c r="AE284" s="100"/>
      <c r="AH284" s="291" t="s">
        <v>970</v>
      </c>
      <c r="AI284" s="291" t="s">
        <v>997</v>
      </c>
      <c r="AJ284" s="41">
        <f>X284*8/1000000</f>
        <v>5.3457915782928464E-13</v>
      </c>
      <c r="AK284" s="41">
        <f>V284*8/1000000</f>
        <v>9.0957379999994661</v>
      </c>
      <c r="AL284" s="291" t="s">
        <v>970</v>
      </c>
      <c r="AM284" s="291" t="s">
        <v>971</v>
      </c>
      <c r="AN284">
        <v>0.37072500000000003</v>
      </c>
      <c r="AO284">
        <v>1.4043319999999999</v>
      </c>
      <c r="AP284">
        <v>1.0336069999999999</v>
      </c>
      <c r="AQ284" s="281">
        <v>9.0957380000000008</v>
      </c>
    </row>
    <row r="285" spans="1:43" ht="13.5" customHeight="1">
      <c r="A285" t="s">
        <v>5703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44">
        <f>W285-V285</f>
        <v>-1.4319084584712982E-7</v>
      </c>
      <c r="Y285" s="343"/>
      <c r="Z285" s="342"/>
      <c r="AA285" s="78">
        <f>AQ285</f>
        <v>15.695212</v>
      </c>
      <c r="AD285" s="119">
        <f>AD284+AK285</f>
        <v>43.94991000000168</v>
      </c>
      <c r="AE285" s="100"/>
      <c r="AH285" s="291" t="s">
        <v>972</v>
      </c>
      <c r="AI285" s="291" t="s">
        <v>996</v>
      </c>
      <c r="AJ285" s="41">
        <f>X285*8/1000000</f>
        <v>-1.1455267667770385E-12</v>
      </c>
      <c r="AK285" s="41">
        <f>V285*8/1000000</f>
        <v>15.695212000001145</v>
      </c>
      <c r="AL285" s="291" t="s">
        <v>972</v>
      </c>
      <c r="AM285" s="291" t="s">
        <v>973</v>
      </c>
      <c r="AN285">
        <v>0.210508</v>
      </c>
      <c r="AO285">
        <v>1.9940549999999999</v>
      </c>
      <c r="AP285">
        <v>1.783547</v>
      </c>
      <c r="AQ285" s="281">
        <v>15.695212</v>
      </c>
    </row>
    <row r="286" spans="1:43" ht="13.5" customHeight="1">
      <c r="O286" t="s">
        <v>1251</v>
      </c>
      <c r="P286" s="292" t="s">
        <v>1004</v>
      </c>
      <c r="Q286" s="292" t="s">
        <v>1005</v>
      </c>
      <c r="R286" s="292">
        <v>645155515</v>
      </c>
      <c r="S286" s="292">
        <v>8</v>
      </c>
      <c r="T286" s="292" t="s">
        <v>27</v>
      </c>
      <c r="U286" s="292" t="s">
        <v>1006</v>
      </c>
      <c r="V286" s="292" t="s">
        <v>101</v>
      </c>
      <c r="W286" s="292" t="s">
        <v>102</v>
      </c>
      <c r="X286" s="292" t="s">
        <v>1007</v>
      </c>
      <c r="AD286" s="119"/>
      <c r="AE286" s="100"/>
      <c r="AH286" s="291"/>
      <c r="AI286" s="291"/>
      <c r="AJ286" s="41"/>
      <c r="AK286" s="41"/>
      <c r="AL286" s="291"/>
      <c r="AM286" s="291"/>
      <c r="AQ286" s="281"/>
    </row>
    <row r="287" spans="1:43" ht="13.5" customHeight="1">
      <c r="O287" t="s">
        <v>1013</v>
      </c>
      <c r="P287" s="292" t="s">
        <v>1009</v>
      </c>
      <c r="Q287" s="292" t="s">
        <v>1010</v>
      </c>
      <c r="R287" s="292">
        <v>645161815</v>
      </c>
      <c r="S287" s="292">
        <v>7</v>
      </c>
      <c r="T287" s="292" t="s">
        <v>27</v>
      </c>
      <c r="U287" s="292" t="s">
        <v>1006</v>
      </c>
      <c r="V287" s="292" t="s">
        <v>101</v>
      </c>
      <c r="W287" s="292" t="s">
        <v>102</v>
      </c>
      <c r="X287" s="292" t="s">
        <v>1011</v>
      </c>
      <c r="AD287" s="119"/>
      <c r="AE287" s="100"/>
      <c r="AH287" s="291"/>
      <c r="AI287" s="291"/>
      <c r="AJ287" s="41"/>
      <c r="AK287" s="41"/>
      <c r="AL287" s="291"/>
      <c r="AM287" s="291"/>
      <c r="AQ287" s="281"/>
    </row>
    <row r="288" spans="1:43" ht="13.5" customHeight="1">
      <c r="O288" t="s">
        <v>21</v>
      </c>
      <c r="P288" s="293" t="s">
        <v>1059</v>
      </c>
      <c r="Q288" s="293" t="s">
        <v>1060</v>
      </c>
      <c r="R288" s="293">
        <v>645161840</v>
      </c>
      <c r="S288" s="293">
        <v>1</v>
      </c>
      <c r="T288" s="293" t="s">
        <v>27</v>
      </c>
      <c r="U288" s="293" t="s">
        <v>1006</v>
      </c>
      <c r="V288" s="293" t="s">
        <v>118</v>
      </c>
      <c r="W288" s="293"/>
      <c r="X288" s="293" t="s">
        <v>1011</v>
      </c>
      <c r="AD288" s="119"/>
      <c r="AE288" s="100"/>
      <c r="AH288" s="291"/>
      <c r="AI288" s="291"/>
      <c r="AJ288" s="41"/>
      <c r="AK288" s="41"/>
      <c r="AL288" s="291"/>
      <c r="AM288" s="291"/>
      <c r="AN288">
        <f t="shared" ref="AN288:AO288" si="114">$AQ289/AN289</f>
        <v>40.914089817982493</v>
      </c>
      <c r="AO288">
        <f t="shared" si="114"/>
        <v>7.2422931255415888</v>
      </c>
      <c r="AP288">
        <f>$AQ289/AP289</f>
        <v>8.8000006098007173</v>
      </c>
      <c r="AQ288" s="281"/>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53">
        <f>R286-5</f>
        <v>645155510</v>
      </c>
      <c r="R289" s="177">
        <f>R288+20</f>
        <v>645161860</v>
      </c>
      <c r="S289" s="21">
        <f>R289-Q289</f>
        <v>6350</v>
      </c>
      <c r="T289" s="177">
        <f>5.4*1000000/8</f>
        <v>675000</v>
      </c>
      <c r="U289" s="3"/>
      <c r="V289" s="20">
        <f>T289+U289*$V$38</f>
        <v>675000</v>
      </c>
      <c r="W289" s="20">
        <f>AA289*1000000/8</f>
        <v>1082320.875</v>
      </c>
      <c r="X289" s="344">
        <f>W289-V289</f>
        <v>407320.875</v>
      </c>
      <c r="Y289" s="343"/>
      <c r="Z289" s="342"/>
      <c r="AA289" s="78">
        <f>AQ289</f>
        <v>8.6585669999999997</v>
      </c>
      <c r="AC289" s="130">
        <f>AK289</f>
        <v>5.4</v>
      </c>
      <c r="AD289" t="s">
        <v>829</v>
      </c>
      <c r="AH289" s="291" t="s">
        <v>974</v>
      </c>
      <c r="AI289" s="291" t="s">
        <v>995</v>
      </c>
      <c r="AJ289" s="41">
        <f>X289*8/1000000</f>
        <v>3.2585670000000002</v>
      </c>
      <c r="AK289" s="41">
        <f>V289*8/1000000</f>
        <v>5.4</v>
      </c>
      <c r="AL289" s="291" t="s">
        <v>974</v>
      </c>
      <c r="AM289" s="291" t="s">
        <v>975</v>
      </c>
      <c r="AN289">
        <v>0.21162800000000001</v>
      </c>
      <c r="AO289">
        <v>1.1955560000000001</v>
      </c>
      <c r="AP289">
        <v>0.98392800000000002</v>
      </c>
      <c r="AQ289" s="281">
        <v>8.6585669999999997</v>
      </c>
    </row>
    <row r="290" spans="1:43" ht="13.5" customHeight="1">
      <c r="A290" t="s">
        <v>5703</v>
      </c>
      <c r="C290" s="3">
        <v>104</v>
      </c>
      <c r="D290" s="3">
        <v>105</v>
      </c>
      <c r="G290" s="3" t="s">
        <v>50</v>
      </c>
      <c r="H290" s="3"/>
      <c r="I290" s="3"/>
      <c r="J290" s="3"/>
      <c r="K290" s="3"/>
      <c r="L290" s="79" t="str">
        <f>M285</f>
        <v>192/13:57</v>
      </c>
      <c r="M290" s="79" t="s">
        <v>1061</v>
      </c>
      <c r="N290" t="s">
        <v>1035</v>
      </c>
      <c r="O290" s="85"/>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44">
        <f>W290-V290</f>
        <v>2.1775485947728157E-7</v>
      </c>
      <c r="Y290" s="343"/>
      <c r="Z290" s="342"/>
      <c r="AA290" s="78"/>
      <c r="AD290" s="178">
        <f>AD285+AK290</f>
        <v>47.208476999999938</v>
      </c>
      <c r="AH290" s="291"/>
      <c r="AI290" s="291"/>
      <c r="AJ290" s="41">
        <f>X290*8/1000000</f>
        <v>1.7420388758182525E-12</v>
      </c>
      <c r="AK290" s="41">
        <f>V290*8/1000000</f>
        <v>3.2585669999982581</v>
      </c>
      <c r="AL290" s="291"/>
      <c r="AM290" s="291"/>
      <c r="AQ290" s="281"/>
    </row>
    <row r="291" spans="1:43" ht="13.5" customHeight="1">
      <c r="C291" s="3"/>
      <c r="D291" s="3"/>
      <c r="G291" s="3"/>
      <c r="H291" s="3"/>
      <c r="I291" s="3"/>
      <c r="J291" s="3"/>
      <c r="K291" s="3"/>
      <c r="L291" s="79"/>
      <c r="M291" s="79"/>
      <c r="O291" t="s">
        <v>1029</v>
      </c>
      <c r="P291" s="292" t="s">
        <v>1030</v>
      </c>
      <c r="Q291" s="293" t="s">
        <v>1031</v>
      </c>
      <c r="R291" s="293">
        <v>616842836</v>
      </c>
      <c r="S291" s="292">
        <v>7</v>
      </c>
      <c r="T291" s="292" t="s">
        <v>27</v>
      </c>
      <c r="U291" s="292" t="s">
        <v>1032</v>
      </c>
      <c r="V291" s="292" t="s">
        <v>101</v>
      </c>
      <c r="W291" s="292" t="s">
        <v>102</v>
      </c>
      <c r="X291" s="292" t="s">
        <v>1033</v>
      </c>
      <c r="Y291" s="343"/>
      <c r="Z291" s="342"/>
      <c r="AA291" s="78"/>
      <c r="AD291" s="119"/>
      <c r="AE291" t="s">
        <v>5702</v>
      </c>
      <c r="AF291" t="s">
        <v>5701</v>
      </c>
      <c r="AH291" s="291"/>
      <c r="AI291" s="291"/>
      <c r="AJ291" s="41"/>
      <c r="AK291" s="41"/>
      <c r="AL291" s="291"/>
      <c r="AM291" s="291"/>
      <c r="AQ291" s="281"/>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44">
        <f>W292-V292</f>
        <v>6.4261257648468018E-8</v>
      </c>
      <c r="Y292" s="343"/>
      <c r="Z292" s="342"/>
      <c r="AA292" s="78">
        <f>AQ292</f>
        <v>17.701824999999999</v>
      </c>
      <c r="AC292" s="130">
        <f>AK292</f>
        <v>17.701824999999484</v>
      </c>
      <c r="AD292" s="119"/>
      <c r="AE292" t="s">
        <v>5700</v>
      </c>
      <c r="AH292" s="291" t="str">
        <f>AL292</f>
        <v>TRK_197_1</v>
      </c>
      <c r="AI292" s="291" t="s">
        <v>1066</v>
      </c>
      <c r="AJ292" s="41">
        <f>X292*8/1000000</f>
        <v>5.1409006118774412E-13</v>
      </c>
      <c r="AK292" s="41">
        <f>V292*8/1000000</f>
        <v>17.701824999999484</v>
      </c>
      <c r="AL292" s="291" t="s">
        <v>1064</v>
      </c>
      <c r="AM292" s="291" t="s">
        <v>1065</v>
      </c>
      <c r="AN292">
        <v>0.21068500000000001</v>
      </c>
      <c r="AO292">
        <v>2.2222559999999998</v>
      </c>
      <c r="AP292">
        <v>2.011571</v>
      </c>
      <c r="AQ292" s="281">
        <v>17.701824999999999</v>
      </c>
    </row>
    <row r="293" spans="1:43" ht="13.5" customHeight="1">
      <c r="N293" s="298"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44">
        <f>W293-V293</f>
        <v>77372.375</v>
      </c>
      <c r="Y293" s="343"/>
      <c r="Z293" s="342"/>
      <c r="AA293" s="78">
        <f>AQ293</f>
        <v>5.0346510000000002</v>
      </c>
      <c r="AB293">
        <f>X293*8/1000000</f>
        <v>0.61897899999999995</v>
      </c>
      <c r="AC293" t="s">
        <v>1027</v>
      </c>
      <c r="AE293">
        <v>265057</v>
      </c>
      <c r="AF293">
        <v>21845</v>
      </c>
      <c r="AH293" s="291" t="str">
        <f>AL293</f>
        <v>TRK_197_2</v>
      </c>
      <c r="AI293" s="291" t="s">
        <v>989</v>
      </c>
      <c r="AJ293" s="41">
        <f>X293*8/1000000</f>
        <v>0.61897899999999995</v>
      </c>
      <c r="AK293" s="41">
        <f>V293*8/1000000</f>
        <v>4.4156719999999998</v>
      </c>
      <c r="AL293" s="291" t="s">
        <v>34</v>
      </c>
      <c r="AM293" s="291" t="s">
        <v>976</v>
      </c>
      <c r="AN293">
        <v>0.201819</v>
      </c>
      <c r="AO293">
        <v>0.77393800000000001</v>
      </c>
      <c r="AP293">
        <v>0.57211900000000004</v>
      </c>
      <c r="AQ293" s="281">
        <v>5.0346510000000002</v>
      </c>
    </row>
    <row r="294" spans="1:43" ht="13.5" customHeight="1">
      <c r="O294" t="s">
        <v>1044</v>
      </c>
      <c r="P294" s="294" t="s">
        <v>1041</v>
      </c>
      <c r="Q294" s="294" t="s">
        <v>1042</v>
      </c>
      <c r="R294" s="294">
        <v>629506577</v>
      </c>
      <c r="S294" s="294">
        <v>0</v>
      </c>
      <c r="T294" s="294" t="s">
        <v>409</v>
      </c>
      <c r="U294" s="294" t="s">
        <v>1043</v>
      </c>
      <c r="V294" s="294" t="s">
        <v>416</v>
      </c>
      <c r="W294" s="294" t="s">
        <v>417</v>
      </c>
      <c r="X294" s="419"/>
      <c r="Y294" s="343"/>
      <c r="Z294" s="342"/>
      <c r="AA294" s="78"/>
      <c r="AE294">
        <f>AE293*8/1000000</f>
        <v>2.1204559999999999</v>
      </c>
      <c r="AF294">
        <f>AF293*8/1000000</f>
        <v>0.17476</v>
      </c>
      <c r="AG294">
        <f>AF294+AE294</f>
        <v>2.2952159999999999</v>
      </c>
      <c r="AH294" s="291"/>
      <c r="AI294" s="291"/>
      <c r="AJ294" s="41"/>
      <c r="AK294" s="41"/>
      <c r="AL294" s="291"/>
      <c r="AM294" s="291"/>
      <c r="AQ294" s="281"/>
    </row>
    <row r="295" spans="1:43" ht="13.5" customHeight="1">
      <c r="C295" s="3">
        <v>104</v>
      </c>
      <c r="D295" s="3">
        <v>105</v>
      </c>
      <c r="G295" s="3" t="s">
        <v>50</v>
      </c>
      <c r="L295" s="79" t="s">
        <v>1040</v>
      </c>
      <c r="M295" s="79" t="s">
        <v>1045</v>
      </c>
      <c r="N295" t="s">
        <v>1044</v>
      </c>
      <c r="P295" s="32" t="str">
        <f>MID(AL295,5,5)</f>
        <v/>
      </c>
      <c r="Q295" s="353">
        <f>R294-5</f>
        <v>629506572</v>
      </c>
      <c r="R295" s="21">
        <f>((W295-U295*$V$38)/$V$22)+Q295</f>
        <v>629523530.21584141</v>
      </c>
      <c r="S295" s="21">
        <f>R295-Q295</f>
        <v>16958.215841412544</v>
      </c>
      <c r="T295" s="21">
        <f>S295*$V$22</f>
        <v>77372.375000016313</v>
      </c>
      <c r="U295" s="3">
        <v>0</v>
      </c>
      <c r="V295" s="20">
        <f>T295+U295*$V$38</f>
        <v>77372.375000016313</v>
      </c>
      <c r="W295" s="179">
        <f>X293</f>
        <v>77372.375</v>
      </c>
      <c r="X295" s="344">
        <f>W295-V295</f>
        <v>-1.6312696970999241E-8</v>
      </c>
      <c r="Y295" s="343"/>
      <c r="Z295" s="342"/>
      <c r="AA295" s="78"/>
      <c r="AD295" s="119">
        <f>AK295</f>
        <v>0.61897900000013051</v>
      </c>
      <c r="AH295" s="291"/>
      <c r="AI295" s="291"/>
      <c r="AJ295" s="41">
        <f>X295*8/1000000</f>
        <v>-1.3050157576799393E-13</v>
      </c>
      <c r="AK295" s="41">
        <f>V295*8/1000000</f>
        <v>0.61897900000013051</v>
      </c>
      <c r="AL295" s="291"/>
      <c r="AM295" s="291"/>
      <c r="AQ295" s="281"/>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44">
        <f>W296-V296</f>
        <v>3.6787241697311401E-8</v>
      </c>
      <c r="Y296" s="343"/>
      <c r="Z296" s="342"/>
      <c r="AA296" s="78">
        <f>AQ296</f>
        <v>25.983319000000002</v>
      </c>
      <c r="AD296" s="119">
        <f>AD295+AK296</f>
        <v>26.602297999999838</v>
      </c>
      <c r="AH296" s="291" t="s">
        <v>977</v>
      </c>
      <c r="AI296" s="291" t="s">
        <v>990</v>
      </c>
      <c r="AJ296" s="41">
        <f>X296*8/1000000</f>
        <v>2.942979335784912E-13</v>
      </c>
      <c r="AK296" s="41">
        <f>V296*8/1000000</f>
        <v>25.983318999999707</v>
      </c>
      <c r="AL296" s="291" t="s">
        <v>977</v>
      </c>
      <c r="AM296" s="291" t="s">
        <v>978</v>
      </c>
      <c r="AN296">
        <v>0.22420200000000001</v>
      </c>
      <c r="AO296">
        <v>3.1768519999999998</v>
      </c>
      <c r="AP296">
        <v>2.9526500000000002</v>
      </c>
      <c r="AQ296" s="281">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44">
        <f>W297-V297</f>
        <v>-5.8673322200775146E-8</v>
      </c>
      <c r="Y297" s="343"/>
      <c r="Z297" s="342"/>
      <c r="AA297" s="78">
        <f>AQ297</f>
        <v>16.793787999999999</v>
      </c>
      <c r="AD297" s="119">
        <f>AD296+AK297</f>
        <v>43.396086000000309</v>
      </c>
      <c r="AH297" s="291" t="s">
        <v>979</v>
      </c>
      <c r="AI297" s="291" t="s">
        <v>991</v>
      </c>
      <c r="AJ297" s="41">
        <f>X297*8/1000000</f>
        <v>-4.6938657760620117E-13</v>
      </c>
      <c r="AK297" s="41">
        <f>V297*8/1000000</f>
        <v>16.793788000000468</v>
      </c>
      <c r="AL297" s="291" t="s">
        <v>979</v>
      </c>
      <c r="AM297" s="291" t="s">
        <v>980</v>
      </c>
      <c r="AN297">
        <v>0.25603500000000001</v>
      </c>
      <c r="AO297">
        <v>2.1644199999999998</v>
      </c>
      <c r="AP297">
        <v>1.908385</v>
      </c>
      <c r="AQ297" s="281">
        <v>16.793787999999999</v>
      </c>
    </row>
    <row r="298" spans="1:43" ht="13.5" customHeight="1">
      <c r="N298" s="6"/>
      <c r="Y298" s="343"/>
      <c r="Z298" s="342"/>
      <c r="AA298" s="78"/>
      <c r="AH298" s="291"/>
      <c r="AI298" s="291"/>
      <c r="AJ298" s="41"/>
      <c r="AK298" s="41"/>
      <c r="AL298" s="291"/>
      <c r="AM298" s="291"/>
      <c r="AQ298" s="281"/>
    </row>
    <row r="299" spans="1:43" ht="13.5" customHeight="1">
      <c r="N299" s="6"/>
      <c r="Y299" s="343"/>
      <c r="Z299" s="342"/>
      <c r="AA299" s="78"/>
      <c r="AH299" s="291"/>
      <c r="AI299" s="291"/>
      <c r="AJ299" s="41"/>
      <c r="AK299" s="41"/>
      <c r="AL299" s="291"/>
      <c r="AM299" s="291"/>
      <c r="AQ299" s="281"/>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44">
        <f>W300-V300</f>
        <v>1.4528632164001465E-7</v>
      </c>
      <c r="Y300" s="343"/>
      <c r="Z300" s="342"/>
      <c r="AA300" s="78">
        <f>AQ300</f>
        <v>11.421339</v>
      </c>
      <c r="AC300" s="130">
        <f>AK300+AC292</f>
        <v>29.123163999998322</v>
      </c>
      <c r="AH300" s="291" t="s">
        <v>981</v>
      </c>
      <c r="AI300" s="291" t="s">
        <v>992</v>
      </c>
      <c r="AJ300" s="41">
        <f>X300*8/1000000</f>
        <v>1.1622905731201172E-12</v>
      </c>
      <c r="AK300" s="41">
        <f>V300*8/1000000</f>
        <v>11.421338999998838</v>
      </c>
      <c r="AL300" s="291" t="s">
        <v>981</v>
      </c>
      <c r="AM300" s="291" t="s">
        <v>982</v>
      </c>
      <c r="AN300">
        <v>0.18662899999999999</v>
      </c>
      <c r="AO300">
        <v>1.4845079999999999</v>
      </c>
      <c r="AP300">
        <v>1.297879</v>
      </c>
      <c r="AQ300" s="281">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44">
        <f>W301-V301</f>
        <v>-2.2043241187930107E-7</v>
      </c>
      <c r="Y301" s="343"/>
      <c r="Z301" s="342"/>
      <c r="AA301" s="78">
        <f>AQ301</f>
        <v>3.936509</v>
      </c>
      <c r="AD301" s="178">
        <f>AD297+AK301</f>
        <v>47.332595000002073</v>
      </c>
      <c r="AH301" s="291" t="s">
        <v>983</v>
      </c>
      <c r="AI301" s="291" t="s">
        <v>993</v>
      </c>
      <c r="AJ301" s="41">
        <f>X301*8/1000000</f>
        <v>-1.7634592950344086E-12</v>
      </c>
      <c r="AK301" s="41">
        <f>V301*8/1000000</f>
        <v>3.9365090000017635</v>
      </c>
      <c r="AL301" s="291" t="s">
        <v>983</v>
      </c>
      <c r="AM301" s="291" t="s">
        <v>984</v>
      </c>
      <c r="AN301">
        <v>0.54563799999999996</v>
      </c>
      <c r="AO301">
        <v>0.99296899999999999</v>
      </c>
      <c r="AP301">
        <v>0.44733099999999998</v>
      </c>
      <c r="AQ301" s="281">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53">
        <f>R304</f>
        <v>605079001</v>
      </c>
      <c r="S302" s="21">
        <f>R302-Q302</f>
        <v>104628.37163615227</v>
      </c>
      <c r="T302" s="21">
        <f>S302*$X$9</f>
        <v>386699.34867353365</v>
      </c>
      <c r="U302" s="3">
        <v>0</v>
      </c>
      <c r="V302" s="20">
        <f>T302+U302*$V$38</f>
        <v>386699.34867353365</v>
      </c>
      <c r="W302" s="20">
        <f>AA302*1000000/8</f>
        <v>632848.5</v>
      </c>
      <c r="X302" s="196">
        <f>W302-V302</f>
        <v>246149.15132646635</v>
      </c>
      <c r="Y302" s="343"/>
      <c r="Z302" s="342"/>
      <c r="AA302" s="78">
        <f>AQ302</f>
        <v>5.0627880000000003</v>
      </c>
      <c r="AC302" s="130">
        <f>AC300+AK302</f>
        <v>32.216758789386589</v>
      </c>
      <c r="AH302" s="291" t="s">
        <v>985</v>
      </c>
      <c r="AI302" s="291" t="s">
        <v>994</v>
      </c>
      <c r="AJ302" s="41">
        <f>X302*8/1000000</f>
        <v>1.9691932106117309</v>
      </c>
      <c r="AK302" s="41">
        <f>V302*8/1000000</f>
        <v>3.0935947893882694</v>
      </c>
      <c r="AL302" s="291" t="s">
        <v>985</v>
      </c>
      <c r="AM302" s="291" t="s">
        <v>986</v>
      </c>
      <c r="AN302">
        <v>0.24905099999999999</v>
      </c>
      <c r="AO302">
        <v>0.82436799999999999</v>
      </c>
      <c r="AP302">
        <v>0.57531699999999997</v>
      </c>
      <c r="AQ302" s="281">
        <v>5.0627880000000003</v>
      </c>
    </row>
    <row r="303" spans="1:43" ht="13.5" customHeight="1">
      <c r="J303" s="3" t="s">
        <v>228</v>
      </c>
      <c r="K303" s="3" t="s">
        <v>825</v>
      </c>
      <c r="L303" s="48" t="s">
        <v>1071</v>
      </c>
      <c r="M303" s="48" t="s">
        <v>1070</v>
      </c>
      <c r="N303" t="s">
        <v>1069</v>
      </c>
      <c r="O303" s="85"/>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44">
        <f>W303-V303</f>
        <v>1.021544449031353E-8</v>
      </c>
      <c r="Y303" s="343"/>
      <c r="Z303" s="342"/>
      <c r="AA303" s="78"/>
      <c r="AC303" s="130">
        <f>AK303</f>
        <v>1.969193210611649</v>
      </c>
      <c r="AJ303" s="41">
        <f>X303*8/1000000</f>
        <v>8.1723555922508245E-14</v>
      </c>
      <c r="AK303" s="41">
        <f>V303*8/1000000</f>
        <v>1.969193210611649</v>
      </c>
      <c r="AQ303">
        <f>SUM(AQ281:AQ302)</f>
        <v>143.54269600000001</v>
      </c>
    </row>
    <row r="304" spans="1:43" ht="13.5" customHeight="1">
      <c r="O304" t="s">
        <v>1025</v>
      </c>
      <c r="P304" s="295" t="s">
        <v>1020</v>
      </c>
      <c r="Q304" s="296" t="s">
        <v>1021</v>
      </c>
      <c r="R304" s="296">
        <v>605079001</v>
      </c>
      <c r="S304" s="297">
        <v>1</v>
      </c>
      <c r="T304" s="297" t="s">
        <v>27</v>
      </c>
      <c r="U304" s="297" t="s">
        <v>1022</v>
      </c>
      <c r="V304" s="297" t="s">
        <v>118</v>
      </c>
      <c r="W304" s="297"/>
      <c r="X304" s="297"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5699</v>
      </c>
      <c r="M312" s="298"/>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44">
        <f>W312-V312</f>
        <v>-3123312.6</v>
      </c>
      <c r="Y312" s="343">
        <f>X312*8/1000000</f>
        <v>-24.986500800000002</v>
      </c>
      <c r="Z312" s="342"/>
      <c r="AA312" s="78">
        <f>AR312</f>
        <v>3.6394991999999999</v>
      </c>
      <c r="AC312" s="185">
        <f>AC310+AK312</f>
        <v>28.626000000000001</v>
      </c>
      <c r="AD312">
        <f>AC312*0.6</f>
        <v>17.175599999999999</v>
      </c>
      <c r="AE312" s="100">
        <f>AC312-AD312</f>
        <v>11.450400000000002</v>
      </c>
      <c r="AH312" s="291" t="str">
        <f>AL312</f>
        <v>TRK_205_1</v>
      </c>
      <c r="AI312" s="291" t="s">
        <v>1109</v>
      </c>
      <c r="AJ312" s="41">
        <f>X312*8/1000000</f>
        <v>-24.986500800000002</v>
      </c>
      <c r="AK312" s="41">
        <f>V312*8/1000000</f>
        <v>28.626000000000001</v>
      </c>
      <c r="AL312" s="298" t="s">
        <v>38</v>
      </c>
      <c r="AM312" s="298" t="s">
        <v>1073</v>
      </c>
      <c r="AN312">
        <v>1.348517</v>
      </c>
      <c r="AO312">
        <v>1.8080499999999999</v>
      </c>
      <c r="AP312">
        <v>0.45953300000000002</v>
      </c>
      <c r="AQ312" s="299">
        <v>4.0438879999999999</v>
      </c>
      <c r="AR312">
        <f>AQ312*0.9</f>
        <v>3.6394991999999999</v>
      </c>
      <c r="AS312" s="298">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44">
        <f>W313-V313</f>
        <v>-242405.06250000047</v>
      </c>
      <c r="Y313" s="343">
        <f>X313*8/1000000</f>
        <v>-1.9392405000000037</v>
      </c>
      <c r="Z313" s="342"/>
      <c r="AA313" s="78">
        <f>AR313</f>
        <v>23.047260299999998</v>
      </c>
      <c r="AH313" s="291" t="str">
        <f>AL313</f>
        <v>TRK_205_2</v>
      </c>
      <c r="AI313" t="s">
        <v>1110</v>
      </c>
      <c r="AJ313" s="41">
        <f>X313*8/1000000</f>
        <v>-1.9392405000000037</v>
      </c>
      <c r="AK313" s="41">
        <f>V313*8/1000000</f>
        <v>0</v>
      </c>
      <c r="AL313" t="s">
        <v>1074</v>
      </c>
      <c r="AM313" t="s">
        <v>1075</v>
      </c>
      <c r="AN313">
        <v>0.26355099999999998</v>
      </c>
      <c r="AO313">
        <v>3.173559</v>
      </c>
      <c r="AP313">
        <v>2.9100079999999999</v>
      </c>
      <c r="AQ313" s="299">
        <v>25.608066999999998</v>
      </c>
      <c r="AR313">
        <f>AQ313*0.9</f>
        <v>23.047260299999998</v>
      </c>
      <c r="AS313" s="298">
        <f>AS312+AR313</f>
        <v>26.686759499999997</v>
      </c>
      <c r="AT313">
        <f>28.626</f>
        <v>28.626000000000001</v>
      </c>
    </row>
    <row r="314" spans="1:46" ht="13.5" customHeight="1">
      <c r="M314" s="418"/>
      <c r="N314" s="417" t="s">
        <v>1133</v>
      </c>
      <c r="O314" s="416" t="str">
        <f>AI314</f>
        <v>207/04:26</v>
      </c>
      <c r="P314" s="415" t="str">
        <f>MID(AL314,5,5)</f>
        <v>207_1</v>
      </c>
      <c r="Q314" s="254">
        <v>645951790</v>
      </c>
      <c r="R314" s="254">
        <v>645952358</v>
      </c>
      <c r="S314" s="414">
        <f>R314-Q314</f>
        <v>568</v>
      </c>
      <c r="T314" s="414">
        <v>3759250</v>
      </c>
      <c r="U314" s="254"/>
      <c r="V314" s="413">
        <f>T314+U314*$V$38</f>
        <v>3759250</v>
      </c>
      <c r="W314" s="412">
        <f>AA314*1000000/8+X313</f>
        <v>845500.87499999953</v>
      </c>
      <c r="X314" s="411">
        <f>W314-V314</f>
        <v>-2913749.1250000005</v>
      </c>
      <c r="Y314" s="410">
        <f>X314*8/1000000</f>
        <v>-23.309993000000002</v>
      </c>
      <c r="Z314" s="409"/>
      <c r="AA314" s="408">
        <f>AR314</f>
        <v>8.7032474999999998</v>
      </c>
      <c r="AB314" s="407"/>
      <c r="AC314" s="406">
        <f>AC312+AK314</f>
        <v>58.7</v>
      </c>
      <c r="AD314" s="100">
        <f>AC314+AC312</f>
        <v>87.326000000000008</v>
      </c>
      <c r="AE314" t="s">
        <v>5698</v>
      </c>
      <c r="AF314" s="100"/>
      <c r="AH314" s="291" t="str">
        <f>AL314</f>
        <v>TRK_207_1</v>
      </c>
      <c r="AI314" t="s">
        <v>1111</v>
      </c>
      <c r="AJ314" s="41">
        <f>X314*8/1000000</f>
        <v>-23.309993000000002</v>
      </c>
      <c r="AK314" s="41">
        <f>V314*8/1000000</f>
        <v>30.074000000000002</v>
      </c>
      <c r="AL314" s="298" t="s">
        <v>1072</v>
      </c>
      <c r="AM314" s="298" t="s">
        <v>1076</v>
      </c>
      <c r="AN314">
        <v>0.34161599999999998</v>
      </c>
      <c r="AO314">
        <v>1.4405110000000001</v>
      </c>
      <c r="AP314">
        <v>1.098895</v>
      </c>
      <c r="AQ314" s="299">
        <v>9.6702750000000002</v>
      </c>
      <c r="AR314">
        <f>AQ314*0.9</f>
        <v>8.7032474999999998</v>
      </c>
      <c r="AS314" s="298">
        <f>AS313+AR314</f>
        <v>35.390006999999997</v>
      </c>
    </row>
    <row r="315" spans="1:46" ht="13.5" customHeight="1">
      <c r="M315">
        <f>16+18+66+90+23+164+33</f>
        <v>410</v>
      </c>
      <c r="N315" s="143" t="s">
        <v>1135</v>
      </c>
      <c r="O315" s="405" t="str">
        <f>AI315</f>
        <v>207/22:05</v>
      </c>
      <c r="P315" s="404" t="str">
        <f>MID(AL315,5,5)</f>
        <v>207_2</v>
      </c>
      <c r="Q315" s="2"/>
      <c r="R315" s="2"/>
      <c r="S315" s="403"/>
      <c r="T315" s="403"/>
      <c r="U315" s="2"/>
      <c r="V315" s="324">
        <f>T315+U315*$V$38</f>
        <v>0</v>
      </c>
      <c r="W315" s="402">
        <f>AA315*1000000/8+X314</f>
        <v>-2606388.4375000005</v>
      </c>
      <c r="X315" s="401">
        <f>W315-V315</f>
        <v>-2606388.4375000005</v>
      </c>
      <c r="Y315" s="400">
        <f>X315*8/1000000</f>
        <v>-20.851107500000005</v>
      </c>
      <c r="Z315" s="399"/>
      <c r="AA315" s="398">
        <f>AR315</f>
        <v>2.4588855000000001</v>
      </c>
      <c r="AB315" s="143"/>
      <c r="AC315" s="397"/>
      <c r="AD315" s="100">
        <f>AC314-AC312</f>
        <v>30.074000000000002</v>
      </c>
      <c r="AH315" s="291"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299">
        <v>2.7320950000000002</v>
      </c>
      <c r="AR315">
        <f>AQ315*0.9</f>
        <v>2.4588855000000001</v>
      </c>
      <c r="AS315" s="298">
        <f>AS314+AR315</f>
        <v>37.848892499999998</v>
      </c>
    </row>
    <row r="316" spans="1:46" ht="13.5" customHeight="1" thickBot="1">
      <c r="M316" s="396" t="s">
        <v>1233</v>
      </c>
      <c r="N316" s="385"/>
      <c r="O316" s="395" t="str">
        <f>AI316</f>
        <v>208/22:00</v>
      </c>
      <c r="P316" s="394" t="str">
        <f>MID(AL316,5,5)</f>
        <v>208_1</v>
      </c>
      <c r="Q316" s="392"/>
      <c r="R316" s="392"/>
      <c r="S316" s="393"/>
      <c r="T316" s="393"/>
      <c r="U316" s="392"/>
      <c r="V316" s="391">
        <f>T316+U316*$V$38</f>
        <v>0</v>
      </c>
      <c r="W316" s="390">
        <f>AA316*1000000/8+X315</f>
        <v>-4106.9500000006519</v>
      </c>
      <c r="X316" s="389">
        <f>W316-V316</f>
        <v>-4106.9500000006519</v>
      </c>
      <c r="Y316" s="388">
        <f>X316*8/1000000</f>
        <v>-3.2855600000005217E-2</v>
      </c>
      <c r="Z316" s="387">
        <f>AA316+AA315+AA314</f>
        <v>31.980384900000001</v>
      </c>
      <c r="AA316" s="386">
        <f>AR316</f>
        <v>20.8182519</v>
      </c>
      <c r="AB316" s="385">
        <f>SUM(AA312:AA316)</f>
        <v>58.667144399999998</v>
      </c>
      <c r="AC316" s="384"/>
      <c r="AH316" s="291"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299">
        <v>23.131391000000001</v>
      </c>
      <c r="AR316">
        <f>AQ316*0.9</f>
        <v>20.8182519</v>
      </c>
      <c r="AS316" s="298">
        <f>AS315+AR316</f>
        <v>58.667144399999998</v>
      </c>
      <c r="AT316" t="s">
        <v>1080</v>
      </c>
    </row>
    <row r="317" spans="1:46" ht="13.5" customHeight="1">
      <c r="O317" s="35" t="s">
        <v>1250</v>
      </c>
      <c r="P317" s="383" t="s">
        <v>1167</v>
      </c>
      <c r="Q317" s="383" t="s">
        <v>1168</v>
      </c>
      <c r="R317" s="383">
        <v>611968056</v>
      </c>
      <c r="S317" s="383">
        <v>1</v>
      </c>
      <c r="T317" s="383" t="s">
        <v>27</v>
      </c>
      <c r="U317" s="383" t="s">
        <v>937</v>
      </c>
      <c r="V317" s="383" t="s">
        <v>118</v>
      </c>
      <c r="W317" s="383"/>
      <c r="X317" s="383"/>
      <c r="Y317" s="343"/>
      <c r="Z317" s="342"/>
      <c r="AA317" s="78"/>
      <c r="AJ317" s="41"/>
      <c r="AK317" s="41"/>
      <c r="AQ317" s="299"/>
      <c r="AS317" s="298"/>
    </row>
    <row r="318" spans="1:46" ht="13.5" customHeight="1">
      <c r="O318" s="85"/>
      <c r="P318" s="297" t="s">
        <v>1169</v>
      </c>
      <c r="Q318" s="296" t="s">
        <v>1170</v>
      </c>
      <c r="R318" s="300">
        <v>611992316</v>
      </c>
      <c r="S318" s="297">
        <v>8</v>
      </c>
      <c r="T318" s="297" t="s">
        <v>27</v>
      </c>
      <c r="U318" s="297" t="s">
        <v>1171</v>
      </c>
      <c r="V318" s="297" t="s">
        <v>101</v>
      </c>
      <c r="W318" s="297" t="s">
        <v>102</v>
      </c>
      <c r="X318" s="297" t="s">
        <v>1172</v>
      </c>
      <c r="Y318" s="343"/>
      <c r="Z318" s="342"/>
      <c r="AA318" s="78"/>
      <c r="AJ318" s="41"/>
      <c r="AK318" s="41"/>
      <c r="AQ318" s="299"/>
      <c r="AS318" s="298"/>
    </row>
    <row r="319" spans="1:46" ht="13.5" customHeight="1">
      <c r="O319" s="85"/>
      <c r="P319" s="297" t="s">
        <v>1173</v>
      </c>
      <c r="Q319" s="297" t="s">
        <v>1174</v>
      </c>
      <c r="R319" s="297">
        <v>611992336</v>
      </c>
      <c r="S319" s="297">
        <v>1</v>
      </c>
      <c r="T319" s="297" t="s">
        <v>27</v>
      </c>
      <c r="U319" s="297" t="s">
        <v>1171</v>
      </c>
      <c r="V319" s="297" t="s">
        <v>118</v>
      </c>
      <c r="W319" s="297"/>
      <c r="X319" s="297" t="s">
        <v>1172</v>
      </c>
      <c r="Y319" s="343"/>
      <c r="Z319" s="342"/>
      <c r="AA319" s="78"/>
      <c r="AJ319" s="41"/>
      <c r="AK319" s="41"/>
      <c r="AQ319" s="299"/>
      <c r="AS319" s="298"/>
    </row>
    <row r="320" spans="1:46" ht="13.5" customHeight="1">
      <c r="O320" s="85"/>
      <c r="P320" s="297" t="s">
        <v>1175</v>
      </c>
      <c r="Q320" s="297" t="s">
        <v>1176</v>
      </c>
      <c r="R320" s="300">
        <v>611992341</v>
      </c>
      <c r="S320" s="297">
        <v>1</v>
      </c>
      <c r="T320" s="297" t="s">
        <v>27</v>
      </c>
      <c r="U320" s="297" t="s">
        <v>1171</v>
      </c>
      <c r="V320" s="297" t="s">
        <v>118</v>
      </c>
      <c r="W320" s="297"/>
      <c r="X320" s="297" t="s">
        <v>1172</v>
      </c>
      <c r="Y320" s="343"/>
      <c r="Z320" s="342"/>
      <c r="AA320" s="78"/>
      <c r="AJ320" s="41"/>
      <c r="AK320" s="41"/>
      <c r="AQ320" s="299"/>
      <c r="AS320" s="298"/>
    </row>
    <row r="321" spans="3:45" ht="13.5" customHeight="1">
      <c r="O321" s="85"/>
      <c r="P321" s="297" t="s">
        <v>1177</v>
      </c>
      <c r="Q321" s="297" t="s">
        <v>1178</v>
      </c>
      <c r="R321" s="297">
        <v>611992832</v>
      </c>
      <c r="S321" s="297">
        <v>0</v>
      </c>
      <c r="T321" s="297" t="s">
        <v>111</v>
      </c>
      <c r="U321" s="297" t="s">
        <v>1179</v>
      </c>
      <c r="V321" s="297" t="s">
        <v>1180</v>
      </c>
      <c r="W321" s="297"/>
      <c r="X321" s="297" t="s">
        <v>1172</v>
      </c>
      <c r="Y321" s="343"/>
      <c r="Z321" s="342"/>
      <c r="AA321" s="78"/>
      <c r="AJ321" s="41"/>
      <c r="AK321" s="41"/>
      <c r="AQ321" s="299"/>
      <c r="AS321" s="298"/>
    </row>
    <row r="322" spans="3:45" ht="13.5" customHeight="1">
      <c r="O322" s="85"/>
      <c r="P322" s="297" t="s">
        <v>1177</v>
      </c>
      <c r="Q322" s="297" t="s">
        <v>1178</v>
      </c>
      <c r="R322" s="297">
        <v>611992832</v>
      </c>
      <c r="S322" s="297">
        <v>0</v>
      </c>
      <c r="T322" s="297" t="s">
        <v>111</v>
      </c>
      <c r="U322" s="297" t="s">
        <v>1179</v>
      </c>
      <c r="V322" s="297" t="s">
        <v>1181</v>
      </c>
      <c r="W322" s="297"/>
      <c r="X322" s="297" t="s">
        <v>1172</v>
      </c>
      <c r="Y322" s="343"/>
      <c r="Z322" s="342"/>
      <c r="AA322" s="78"/>
      <c r="AJ322" s="41"/>
      <c r="AK322" s="41"/>
      <c r="AQ322" s="299"/>
      <c r="AS322" s="298"/>
    </row>
    <row r="323" spans="3:45" ht="13.5" customHeight="1">
      <c r="O323" s="85"/>
      <c r="P323" s="297" t="s">
        <v>1177</v>
      </c>
      <c r="Q323" s="297" t="s">
        <v>1178</v>
      </c>
      <c r="R323" s="297">
        <v>611992832</v>
      </c>
      <c r="S323" s="297">
        <v>0</v>
      </c>
      <c r="T323" s="297" t="s">
        <v>111</v>
      </c>
      <c r="U323" s="297" t="s">
        <v>1179</v>
      </c>
      <c r="V323" s="297" t="s">
        <v>1182</v>
      </c>
      <c r="W323" s="297"/>
      <c r="X323" s="297" t="s">
        <v>1172</v>
      </c>
      <c r="Y323" s="343"/>
      <c r="Z323" s="342"/>
      <c r="AA323" s="78"/>
      <c r="AJ323" s="41"/>
      <c r="AK323" s="41"/>
      <c r="AQ323" s="299"/>
      <c r="AS323" s="298"/>
    </row>
    <row r="324" spans="3:45" ht="13.5" customHeight="1">
      <c r="O324" s="85"/>
      <c r="P324" s="297" t="s">
        <v>1177</v>
      </c>
      <c r="Q324" s="297" t="s">
        <v>1178</v>
      </c>
      <c r="R324" s="297">
        <v>611992832</v>
      </c>
      <c r="S324" s="297">
        <v>0</v>
      </c>
      <c r="T324" s="297" t="s">
        <v>111</v>
      </c>
      <c r="U324" s="297" t="s">
        <v>1179</v>
      </c>
      <c r="V324" s="297" t="s">
        <v>113</v>
      </c>
      <c r="W324" s="297"/>
      <c r="X324" s="297" t="s">
        <v>1172</v>
      </c>
      <c r="Y324" s="343"/>
      <c r="Z324" s="342"/>
      <c r="AA324" s="78"/>
      <c r="AJ324" s="41"/>
      <c r="AK324" s="41"/>
      <c r="AQ324" s="299"/>
      <c r="AS324" s="298"/>
    </row>
    <row r="325" spans="3:45" ht="13.5" customHeight="1">
      <c r="O325" s="382" t="s">
        <v>1212</v>
      </c>
      <c r="P325" s="297" t="s">
        <v>1177</v>
      </c>
      <c r="Q325" s="297" t="s">
        <v>1178</v>
      </c>
      <c r="R325" s="301">
        <v>611992832</v>
      </c>
      <c r="S325" s="297">
        <v>0</v>
      </c>
      <c r="T325" s="297" t="s">
        <v>111</v>
      </c>
      <c r="U325" s="297" t="s">
        <v>1179</v>
      </c>
      <c r="V325" s="296" t="s">
        <v>1183</v>
      </c>
      <c r="W325" s="297"/>
      <c r="X325" s="297" t="s">
        <v>1172</v>
      </c>
      <c r="Y325" s="343"/>
      <c r="Z325" s="342"/>
      <c r="AA325" s="78"/>
      <c r="AJ325" s="41"/>
      <c r="AK325" s="41"/>
      <c r="AQ325" s="299"/>
      <c r="AS325" s="298"/>
    </row>
    <row r="326" spans="3:45" ht="13.5" customHeight="1">
      <c r="O326" s="85"/>
      <c r="P326" s="297" t="s">
        <v>1177</v>
      </c>
      <c r="Q326" s="297" t="s">
        <v>1178</v>
      </c>
      <c r="R326" s="297">
        <v>611992832</v>
      </c>
      <c r="S326" s="297">
        <v>0</v>
      </c>
      <c r="T326" s="297" t="s">
        <v>111</v>
      </c>
      <c r="U326" s="297" t="s">
        <v>1179</v>
      </c>
      <c r="V326" s="297" t="s">
        <v>1184</v>
      </c>
      <c r="W326" s="297"/>
      <c r="X326" s="297" t="s">
        <v>1172</v>
      </c>
      <c r="Y326" s="343"/>
      <c r="Z326" s="342"/>
      <c r="AA326" s="78"/>
      <c r="AJ326" s="41"/>
      <c r="AK326" s="41"/>
      <c r="AQ326" s="299"/>
      <c r="AS326" s="298"/>
    </row>
    <row r="327" spans="3:45" ht="13.5" customHeight="1">
      <c r="M327" s="205" t="str" cm="1">
        <f t="array" aca="1" ref="M327" ca="1">MID(met2utc(R328),3,12)</f>
        <v>25-133/18:11</v>
      </c>
      <c r="O327" s="85"/>
      <c r="P327" s="297" t="s">
        <v>1177</v>
      </c>
      <c r="Q327" s="297" t="s">
        <v>1178</v>
      </c>
      <c r="R327" s="297">
        <v>611992832</v>
      </c>
      <c r="S327" s="297">
        <v>0</v>
      </c>
      <c r="T327" s="297" t="s">
        <v>111</v>
      </c>
      <c r="U327" s="297" t="s">
        <v>1179</v>
      </c>
      <c r="V327" s="297" t="s">
        <v>756</v>
      </c>
      <c r="W327" s="297"/>
      <c r="X327" s="297" t="s">
        <v>1172</v>
      </c>
      <c r="Y327" s="343"/>
      <c r="Z327" s="342"/>
      <c r="AA327" s="78"/>
      <c r="AJ327" s="41"/>
      <c r="AK327" s="41"/>
      <c r="AQ327" s="299"/>
      <c r="AS327" s="298"/>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5">MID(AL328,5,5)</f>
        <v>211_1</v>
      </c>
      <c r="Q328" s="86">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44">
        <f t="shared" ref="X328:X335" si="118">W328-V328</f>
        <v>2.7939677238464355E-9</v>
      </c>
      <c r="Y328" s="343"/>
      <c r="Z328" s="342"/>
      <c r="AA328" s="78">
        <f>AR328</f>
        <v>5.4531045000000002</v>
      </c>
      <c r="AC328" s="130">
        <f>AC315+AK328</f>
        <v>5.4202488999999723</v>
      </c>
      <c r="AH328" s="291" t="str">
        <f>AL328</f>
        <v>TRK_211_1</v>
      </c>
      <c r="AI328" t="s">
        <v>1113</v>
      </c>
      <c r="AJ328" s="41">
        <f>X328*8/1000000</f>
        <v>2.2351741790771485E-14</v>
      </c>
      <c r="AK328" s="41">
        <f>V328*8/1000000</f>
        <v>5.4202488999999723</v>
      </c>
      <c r="AL328" t="s">
        <v>39</v>
      </c>
      <c r="AM328" t="s">
        <v>1081</v>
      </c>
      <c r="AN328">
        <v>0.87197400000000003</v>
      </c>
      <c r="AO328">
        <v>1.560497</v>
      </c>
      <c r="AP328">
        <v>0.688523</v>
      </c>
      <c r="AQ328" s="299">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9">M328</f>
        <v>25-133/18:11</v>
      </c>
      <c r="M329" s="48" t="s">
        <v>1163</v>
      </c>
      <c r="N329" t="s">
        <v>1069</v>
      </c>
      <c r="O329" s="85" t="str">
        <f>AI329</f>
        <v>212/03:35</v>
      </c>
      <c r="P329" s="32" t="str">
        <f t="shared" si="115"/>
        <v>212_1</v>
      </c>
      <c r="Q329" s="59">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44">
        <f t="shared" si="118"/>
        <v>-3.3993273973464966E-8</v>
      </c>
      <c r="Y329" s="343"/>
      <c r="Z329" s="342"/>
      <c r="AA329" s="78">
        <f>AR329</f>
        <v>10.612962</v>
      </c>
      <c r="AC329" s="130">
        <f>AK329+AC328</f>
        <v>16.033210900000242</v>
      </c>
      <c r="AH329" s="291" t="str">
        <f>AL329</f>
        <v>TRK_212_1</v>
      </c>
      <c r="AI329" t="s">
        <v>1114</v>
      </c>
      <c r="AJ329" s="41">
        <f>X329*8/1000000</f>
        <v>-2.7194619178771972E-13</v>
      </c>
      <c r="AK329" s="41">
        <f>V329*8/1000000</f>
        <v>10.612962000000271</v>
      </c>
      <c r="AL329" t="s">
        <v>779</v>
      </c>
      <c r="AM329" t="s">
        <v>1082</v>
      </c>
      <c r="AN329">
        <v>0.31300499999999998</v>
      </c>
      <c r="AO329">
        <v>1.653025</v>
      </c>
      <c r="AP329">
        <v>1.34002</v>
      </c>
      <c r="AQ329" s="299">
        <v>11.79218</v>
      </c>
      <c r="AR329">
        <f>AQ329*0.9</f>
        <v>10.612962</v>
      </c>
      <c r="AS329">
        <f>AS328+AR329</f>
        <v>74.733210899999989</v>
      </c>
    </row>
    <row r="330" spans="3:45" ht="13.5" customHeight="1">
      <c r="J330" s="3" t="s">
        <v>228</v>
      </c>
      <c r="K330" s="3" t="s">
        <v>825</v>
      </c>
      <c r="L330" s="48" t="str">
        <f t="shared" si="119"/>
        <v>25-144/16:53</v>
      </c>
      <c r="M330" s="48" t="s">
        <v>1164</v>
      </c>
      <c r="N330" t="s">
        <v>1069</v>
      </c>
      <c r="O330" s="85" t="str">
        <f>AI330</f>
        <v>212/13:50</v>
      </c>
      <c r="P330" s="32" t="str">
        <f t="shared" si="115"/>
        <v>212_2</v>
      </c>
      <c r="Q330" s="59">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44">
        <f t="shared" si="118"/>
        <v>3.0733644962310791E-8</v>
      </c>
      <c r="Y330" s="343"/>
      <c r="Z330" s="342"/>
      <c r="AA330" s="78">
        <f>AR330</f>
        <v>4.8993723000000005</v>
      </c>
      <c r="AC330" s="130">
        <f>AK330+AC329</f>
        <v>20.932583199999996</v>
      </c>
      <c r="AH330" s="291"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299">
        <v>5.4437470000000001</v>
      </c>
      <c r="AR330">
        <f>AQ330*0.9</f>
        <v>4.8993723000000005</v>
      </c>
      <c r="AS330">
        <f>AS329+AR330</f>
        <v>79.632583199999985</v>
      </c>
    </row>
    <row r="331" spans="3:45" ht="13.5" customHeight="1">
      <c r="J331" s="3" t="s">
        <v>228</v>
      </c>
      <c r="K331" s="3" t="s">
        <v>825</v>
      </c>
      <c r="L331" s="48" t="str">
        <f t="shared" si="119"/>
        <v>25-149/18:09</v>
      </c>
      <c r="M331" s="48" t="s">
        <v>1234</v>
      </c>
      <c r="N331" t="s">
        <v>1069</v>
      </c>
      <c r="O331" s="85" t="str">
        <f>AI331</f>
        <v>213/02:25</v>
      </c>
      <c r="P331" s="32" t="str">
        <f t="shared" si="115"/>
        <v>213_1</v>
      </c>
      <c r="Q331" s="59">
        <f t="shared" si="120"/>
        <v>610848056.61678576</v>
      </c>
      <c r="R331" s="187">
        <f>R325-20</f>
        <v>611992812</v>
      </c>
      <c r="S331" s="21">
        <f t="shared" si="116"/>
        <v>1144755.3832142353</v>
      </c>
      <c r="T331" s="21">
        <f>S331*$S$4</f>
        <v>1605895.5563962641</v>
      </c>
      <c r="U331" s="3">
        <v>0</v>
      </c>
      <c r="V331" s="20">
        <f t="shared" si="117"/>
        <v>1605895.5563962641</v>
      </c>
      <c r="W331" s="20">
        <f>AA331*1000000/8</f>
        <v>1831892.625</v>
      </c>
      <c r="X331" s="188">
        <f t="shared" si="118"/>
        <v>225997.06860373588</v>
      </c>
      <c r="Y331" s="343"/>
      <c r="Z331" s="342"/>
      <c r="AA331" s="78">
        <f>AR331</f>
        <v>14.655141</v>
      </c>
      <c r="AC331" s="130">
        <f>AK331+AC330</f>
        <v>33.779747651170112</v>
      </c>
      <c r="AH331" s="291"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299">
        <v>16.28349</v>
      </c>
      <c r="AR331">
        <f>AQ331*0.9</f>
        <v>14.655141</v>
      </c>
      <c r="AS331">
        <f>AS330+AR331</f>
        <v>94.287724199999985</v>
      </c>
    </row>
    <row r="332" spans="3:45" ht="13.5" customHeight="1">
      <c r="J332" s="3" t="s">
        <v>228</v>
      </c>
      <c r="K332" s="3" t="s">
        <v>825</v>
      </c>
      <c r="L332" s="48" t="str">
        <f t="shared" si="119"/>
        <v>25-163/08:37</v>
      </c>
      <c r="M332" s="48" t="s">
        <v>1245</v>
      </c>
      <c r="N332" t="s">
        <v>1185</v>
      </c>
      <c r="O332" s="85"/>
      <c r="P332" s="32" t="str">
        <f t="shared" si="115"/>
        <v/>
      </c>
      <c r="Q332" s="59">
        <f t="shared" si="120"/>
        <v>611992809</v>
      </c>
      <c r="R332" s="21">
        <f>((W332)/$S$5)+Q332</f>
        <v>612053956.5177387</v>
      </c>
      <c r="S332" s="21">
        <f t="shared" si="116"/>
        <v>61147.517738699913</v>
      </c>
      <c r="T332" s="21">
        <f>S332*$S$5</f>
        <v>225997.06860379208</v>
      </c>
      <c r="U332" s="3">
        <v>0</v>
      </c>
      <c r="V332" s="20">
        <f t="shared" si="117"/>
        <v>225997.06860379208</v>
      </c>
      <c r="W332" s="184">
        <f>X331</f>
        <v>225997.06860373588</v>
      </c>
      <c r="X332" s="344">
        <f t="shared" si="118"/>
        <v>-5.6199496611952782E-8</v>
      </c>
      <c r="Y332" s="343"/>
      <c r="Z332" s="342"/>
      <c r="AA332" s="78"/>
      <c r="AC332" s="130"/>
      <c r="AH332" s="291"/>
      <c r="AJ332" s="41"/>
      <c r="AK332" s="41"/>
      <c r="AQ332" s="299"/>
    </row>
    <row r="333" spans="3:45" ht="13.5" customHeight="1">
      <c r="J333" s="3" t="s">
        <v>228</v>
      </c>
      <c r="K333" s="3" t="s">
        <v>825</v>
      </c>
      <c r="L333" s="48" t="str">
        <f t="shared" si="119"/>
        <v>25-163/17:07</v>
      </c>
      <c r="M333" s="48" t="s">
        <v>1246</v>
      </c>
      <c r="N333" t="s">
        <v>1185</v>
      </c>
      <c r="O333" s="85" t="str">
        <f>AI333</f>
        <v>213/22:40</v>
      </c>
      <c r="P333" s="32" t="str">
        <f t="shared" si="115"/>
        <v>213_2</v>
      </c>
      <c r="Q333" s="59">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44">
        <f t="shared" si="118"/>
        <v>1.9324943423271179E-7</v>
      </c>
      <c r="Y333" s="343"/>
      <c r="Z333" s="342"/>
      <c r="AA333" s="78">
        <f>AR333</f>
        <v>21.463278299999999</v>
      </c>
      <c r="AC333" s="130">
        <f>AK333+AC331</f>
        <v>55.243025951168562</v>
      </c>
      <c r="AH333" s="291"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299">
        <v>23.848087</v>
      </c>
      <c r="AR333">
        <f>AQ333*0.9</f>
        <v>21.463278299999999</v>
      </c>
      <c r="AS333">
        <f>AS331+AR333</f>
        <v>115.75100249999998</v>
      </c>
    </row>
    <row r="334" spans="3:45" ht="13.5" customHeight="1">
      <c r="J334" s="3" t="s">
        <v>228</v>
      </c>
      <c r="K334" s="3" t="s">
        <v>825</v>
      </c>
      <c r="L334" s="48" t="str">
        <f t="shared" si="119"/>
        <v>25-172/02:45</v>
      </c>
      <c r="M334" s="48" t="s">
        <v>1247</v>
      </c>
      <c r="N334" t="s">
        <v>1185</v>
      </c>
      <c r="O334" s="85" t="str">
        <f>AI334</f>
        <v>214/11:25</v>
      </c>
      <c r="P334" s="32" t="str">
        <f t="shared" si="115"/>
        <v>214_1</v>
      </c>
      <c r="Q334" s="59">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44">
        <f t="shared" si="118"/>
        <v>5.5064447224140167E-8</v>
      </c>
      <c r="Y334" s="343"/>
      <c r="Z334" s="342"/>
      <c r="AA334" s="78">
        <f>AR334</f>
        <v>6.7295015999999999</v>
      </c>
      <c r="AC334" s="130">
        <f>AK334+AC333</f>
        <v>61.97252755116812</v>
      </c>
      <c r="AH334" s="291"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299">
        <v>7.4772239999999996</v>
      </c>
      <c r="AR334">
        <f>AQ334*0.9</f>
        <v>6.7295015999999999</v>
      </c>
      <c r="AS334">
        <f>AS333+AR334</f>
        <v>122.48050409999999</v>
      </c>
    </row>
    <row r="335" spans="3:45" ht="13.5" customHeight="1">
      <c r="J335" s="3" t="s">
        <v>228</v>
      </c>
      <c r="K335" s="3" t="s">
        <v>825</v>
      </c>
      <c r="L335" s="48" t="str">
        <f t="shared" si="119"/>
        <v>25-174/17:59</v>
      </c>
      <c r="M335" s="48" t="s">
        <v>1235</v>
      </c>
      <c r="N335" t="s">
        <v>1185</v>
      </c>
      <c r="O335" s="85" t="str">
        <f>AI335</f>
        <v>214/23:00</v>
      </c>
      <c r="P335" s="32" t="str">
        <f t="shared" si="115"/>
        <v>214_2</v>
      </c>
      <c r="Q335" s="59">
        <f t="shared" si="120"/>
        <v>613007454.63604379</v>
      </c>
      <c r="R335" s="189">
        <f>R343</f>
        <v>613564800</v>
      </c>
      <c r="S335" s="21">
        <f t="shared" si="116"/>
        <v>557345.363956213</v>
      </c>
      <c r="T335" s="21">
        <f>S335*$S$5</f>
        <v>2059910.5754754029</v>
      </c>
      <c r="U335" s="3">
        <v>0</v>
      </c>
      <c r="V335" s="20">
        <f t="shared" si="117"/>
        <v>2059910.5754754029</v>
      </c>
      <c r="W335" s="20">
        <f>AA335*1000000/8</f>
        <v>2355370.875</v>
      </c>
      <c r="X335" s="188">
        <f t="shared" si="118"/>
        <v>295460.29952459713</v>
      </c>
      <c r="Y335" s="343"/>
      <c r="Z335" s="342"/>
      <c r="AA335" s="78">
        <f>AR335</f>
        <v>18.842967000000002</v>
      </c>
      <c r="AC335" s="130">
        <f>AK335+AC334</f>
        <v>78.45181215497135</v>
      </c>
      <c r="AH335" s="291"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299">
        <v>20.936630000000001</v>
      </c>
      <c r="AR335">
        <f>AQ335*0.9</f>
        <v>18.842967000000002</v>
      </c>
      <c r="AS335">
        <f>AS334+AR335</f>
        <v>141.32347110000001</v>
      </c>
    </row>
    <row r="336" spans="3:45" ht="13.5" customHeight="1">
      <c r="J336" s="3"/>
      <c r="K336" s="3"/>
      <c r="L336" s="48"/>
      <c r="M336" s="48"/>
      <c r="O336" s="85"/>
      <c r="P336" s="297" t="s">
        <v>1213</v>
      </c>
      <c r="Q336" s="296" t="s">
        <v>1214</v>
      </c>
      <c r="R336" s="302">
        <v>613564318</v>
      </c>
      <c r="S336" s="297">
        <v>7</v>
      </c>
      <c r="T336" s="297" t="s">
        <v>27</v>
      </c>
      <c r="U336" s="297" t="s">
        <v>1215</v>
      </c>
      <c r="V336" s="297" t="s">
        <v>101</v>
      </c>
      <c r="W336" s="297" t="s">
        <v>102</v>
      </c>
      <c r="X336" s="297" t="s">
        <v>1216</v>
      </c>
      <c r="Y336" s="343"/>
      <c r="Z336" s="342"/>
      <c r="AA336" s="78"/>
      <c r="AC336" s="130"/>
      <c r="AH336" s="291"/>
      <c r="AJ336" s="41"/>
      <c r="AK336" s="41"/>
      <c r="AQ336" s="299"/>
    </row>
    <row r="337" spans="7:45" ht="13.5" customHeight="1">
      <c r="J337" s="3"/>
      <c r="K337" s="3"/>
      <c r="L337" s="48"/>
      <c r="M337" s="48"/>
      <c r="O337" s="85"/>
      <c r="P337" s="297" t="s">
        <v>1217</v>
      </c>
      <c r="Q337" s="297" t="s">
        <v>1218</v>
      </c>
      <c r="R337" s="297">
        <v>613564338</v>
      </c>
      <c r="S337" s="297">
        <v>1</v>
      </c>
      <c r="T337" s="297" t="s">
        <v>27</v>
      </c>
      <c r="U337" s="297" t="s">
        <v>1215</v>
      </c>
      <c r="V337" s="297" t="s">
        <v>118</v>
      </c>
      <c r="W337" s="297"/>
      <c r="X337" s="297" t="s">
        <v>1216</v>
      </c>
      <c r="Y337" s="343"/>
      <c r="Z337" s="342"/>
      <c r="AA337" s="78"/>
      <c r="AC337" s="130"/>
      <c r="AH337" s="291"/>
      <c r="AJ337" s="41"/>
      <c r="AK337" s="41"/>
      <c r="AQ337" s="299"/>
    </row>
    <row r="338" spans="7:45" ht="13.5" customHeight="1">
      <c r="J338" s="3"/>
      <c r="K338" s="3"/>
      <c r="L338" s="48"/>
      <c r="M338" s="48"/>
      <c r="O338" s="85"/>
      <c r="P338" s="297" t="s">
        <v>1219</v>
      </c>
      <c r="Q338" s="297" t="s">
        <v>1220</v>
      </c>
      <c r="R338" s="297">
        <v>613564343</v>
      </c>
      <c r="S338" s="297">
        <v>1</v>
      </c>
      <c r="T338" s="297" t="s">
        <v>27</v>
      </c>
      <c r="U338" s="297" t="s">
        <v>1215</v>
      </c>
      <c r="V338" s="297" t="s">
        <v>118</v>
      </c>
      <c r="W338" s="297"/>
      <c r="X338" s="297" t="s">
        <v>1216</v>
      </c>
      <c r="Y338" s="343"/>
      <c r="Z338" s="342"/>
      <c r="AA338" s="78"/>
      <c r="AC338" s="130"/>
      <c r="AH338" s="291"/>
      <c r="AJ338" s="41"/>
      <c r="AK338" s="41"/>
      <c r="AQ338" s="299"/>
    </row>
    <row r="339" spans="7:45" ht="13.5" customHeight="1">
      <c r="J339" s="3"/>
      <c r="K339" s="3"/>
      <c r="L339" s="48"/>
      <c r="M339" s="48"/>
      <c r="O339" s="85"/>
      <c r="P339" s="297" t="s">
        <v>1221</v>
      </c>
      <c r="Q339" s="297" t="s">
        <v>1222</v>
      </c>
      <c r="R339" s="297">
        <v>613564800</v>
      </c>
      <c r="S339" s="297">
        <v>0</v>
      </c>
      <c r="T339" s="297" t="s">
        <v>111</v>
      </c>
      <c r="U339" s="297" t="s">
        <v>436</v>
      </c>
      <c r="V339" s="297" t="s">
        <v>1180</v>
      </c>
      <c r="W339" s="297"/>
      <c r="X339" s="297" t="s">
        <v>1216</v>
      </c>
      <c r="Y339" s="343"/>
      <c r="Z339" s="342"/>
      <c r="AA339" s="78"/>
      <c r="AC339" s="130"/>
      <c r="AH339" s="291"/>
      <c r="AJ339" s="41"/>
      <c r="AK339" s="41"/>
      <c r="AQ339" s="299"/>
    </row>
    <row r="340" spans="7:45" ht="13.5" customHeight="1">
      <c r="J340" s="3"/>
      <c r="K340" s="3"/>
      <c r="L340" s="48"/>
      <c r="M340" s="48"/>
      <c r="O340" s="85"/>
      <c r="P340" s="297" t="s">
        <v>1221</v>
      </c>
      <c r="Q340" s="297" t="s">
        <v>1222</v>
      </c>
      <c r="R340" s="297">
        <v>613564800</v>
      </c>
      <c r="S340" s="297">
        <v>0</v>
      </c>
      <c r="T340" s="297" t="s">
        <v>111</v>
      </c>
      <c r="U340" s="297" t="s">
        <v>436</v>
      </c>
      <c r="V340" s="297" t="s">
        <v>1181</v>
      </c>
      <c r="W340" s="297"/>
      <c r="X340" s="297" t="s">
        <v>1216</v>
      </c>
      <c r="Y340" s="343"/>
      <c r="Z340" s="342"/>
      <c r="AA340" s="78"/>
      <c r="AC340" s="130"/>
      <c r="AH340" s="291"/>
      <c r="AJ340" s="41"/>
      <c r="AK340" s="41"/>
      <c r="AQ340" s="299"/>
    </row>
    <row r="341" spans="7:45" ht="13.5" customHeight="1">
      <c r="J341" s="3"/>
      <c r="K341" s="3"/>
      <c r="L341" s="48"/>
      <c r="M341" s="48"/>
      <c r="O341" s="85"/>
      <c r="P341" s="297" t="s">
        <v>1221</v>
      </c>
      <c r="Q341" s="297" t="s">
        <v>1222</v>
      </c>
      <c r="R341" s="297">
        <v>613564800</v>
      </c>
      <c r="S341" s="297">
        <v>0</v>
      </c>
      <c r="T341" s="297" t="s">
        <v>111</v>
      </c>
      <c r="U341" s="297" t="s">
        <v>436</v>
      </c>
      <c r="V341" s="297" t="s">
        <v>1182</v>
      </c>
      <c r="W341" s="297"/>
      <c r="X341" s="297" t="s">
        <v>1216</v>
      </c>
      <c r="Y341" s="343"/>
      <c r="Z341" s="342"/>
      <c r="AA341" s="78"/>
      <c r="AC341" s="130"/>
      <c r="AH341" s="291"/>
      <c r="AJ341" s="41"/>
      <c r="AK341" s="41"/>
      <c r="AQ341" s="299"/>
    </row>
    <row r="342" spans="7:45" ht="13.5" customHeight="1">
      <c r="J342" s="3"/>
      <c r="K342" s="3"/>
      <c r="L342" s="48"/>
      <c r="M342" s="48"/>
      <c r="O342" s="85"/>
      <c r="P342" s="297" t="s">
        <v>1221</v>
      </c>
      <c r="Q342" s="297" t="s">
        <v>1222</v>
      </c>
      <c r="R342" s="297">
        <v>613564800</v>
      </c>
      <c r="S342" s="297">
        <v>0</v>
      </c>
      <c r="T342" s="297" t="s">
        <v>111</v>
      </c>
      <c r="U342" s="297" t="s">
        <v>436</v>
      </c>
      <c r="V342" s="297" t="s">
        <v>113</v>
      </c>
      <c r="W342" s="297"/>
      <c r="X342" s="297" t="s">
        <v>1216</v>
      </c>
      <c r="Y342" s="343"/>
      <c r="Z342" s="342"/>
      <c r="AA342" s="78"/>
      <c r="AC342" s="130"/>
      <c r="AH342" s="291"/>
      <c r="AJ342" s="41"/>
      <c r="AK342" s="41"/>
      <c r="AQ342" s="299"/>
    </row>
    <row r="343" spans="7:45" ht="13.5" customHeight="1">
      <c r="J343" s="3"/>
      <c r="K343" s="3"/>
      <c r="L343" s="48"/>
      <c r="M343" s="48"/>
      <c r="O343" s="85" t="s">
        <v>1223</v>
      </c>
      <c r="P343" s="297" t="s">
        <v>1221</v>
      </c>
      <c r="Q343" s="297" t="s">
        <v>1222</v>
      </c>
      <c r="R343" s="303">
        <v>613564800</v>
      </c>
      <c r="S343" s="297">
        <v>0</v>
      </c>
      <c r="T343" s="297" t="s">
        <v>111</v>
      </c>
      <c r="U343" s="297" t="s">
        <v>436</v>
      </c>
      <c r="V343" s="296" t="s">
        <v>1200</v>
      </c>
      <c r="W343" s="297"/>
      <c r="X343" s="297" t="s">
        <v>1216</v>
      </c>
      <c r="Y343" s="343"/>
      <c r="Z343" s="342"/>
      <c r="AA343" s="78"/>
      <c r="AC343" s="130"/>
      <c r="AH343" s="291"/>
      <c r="AJ343" s="41"/>
      <c r="AK343" s="41"/>
      <c r="AQ343" s="299"/>
    </row>
    <row r="344" spans="7:45" ht="13.5" customHeight="1">
      <c r="J344" s="3"/>
      <c r="K344" s="3"/>
      <c r="L344" s="48"/>
      <c r="M344" s="48"/>
      <c r="O344" s="85"/>
      <c r="P344" s="297" t="s">
        <v>1221</v>
      </c>
      <c r="Q344" s="297" t="s">
        <v>1222</v>
      </c>
      <c r="R344" s="297">
        <v>613564800</v>
      </c>
      <c r="S344" s="297">
        <v>0</v>
      </c>
      <c r="T344" s="297" t="s">
        <v>111</v>
      </c>
      <c r="U344" s="297" t="s">
        <v>436</v>
      </c>
      <c r="V344" s="297" t="s">
        <v>1184</v>
      </c>
      <c r="W344" s="297"/>
      <c r="X344" s="297" t="s">
        <v>1216</v>
      </c>
      <c r="Y344" s="343"/>
      <c r="Z344" s="342"/>
      <c r="AA344" s="78"/>
      <c r="AC344" s="130"/>
      <c r="AH344" s="291"/>
      <c r="AJ344" s="41"/>
      <c r="AK344" s="41"/>
      <c r="AQ344" s="299"/>
    </row>
    <row r="345" spans="7:45" ht="13.5" customHeight="1">
      <c r="J345" s="3"/>
      <c r="K345" s="3"/>
      <c r="L345" s="48"/>
      <c r="M345" s="48"/>
      <c r="O345" s="85"/>
      <c r="P345" s="297" t="s">
        <v>1221</v>
      </c>
      <c r="Q345" s="297" t="s">
        <v>1222</v>
      </c>
      <c r="R345" s="297">
        <v>613564800</v>
      </c>
      <c r="S345" s="297">
        <v>0</v>
      </c>
      <c r="T345" s="297" t="s">
        <v>111</v>
      </c>
      <c r="U345" s="297" t="s">
        <v>436</v>
      </c>
      <c r="V345" s="297" t="s">
        <v>756</v>
      </c>
      <c r="W345" s="297"/>
      <c r="X345" s="297" t="s">
        <v>1216</v>
      </c>
      <c r="Y345" s="343"/>
      <c r="Z345" s="342"/>
      <c r="AA345" s="78"/>
      <c r="AC345" s="130"/>
      <c r="AH345" s="291"/>
      <c r="AJ345" s="41"/>
      <c r="AK345" s="41"/>
      <c r="AQ345" s="299"/>
    </row>
    <row r="346" spans="7:45" ht="13.5" customHeight="1">
      <c r="J346" s="3" t="s">
        <v>228</v>
      </c>
      <c r="K346" s="3" t="s">
        <v>825</v>
      </c>
      <c r="L346" s="48" t="str">
        <f>M335</f>
        <v>25-181/04:48</v>
      </c>
      <c r="M346" s="48" t="s">
        <v>1248</v>
      </c>
      <c r="N346" t="s">
        <v>1224</v>
      </c>
      <c r="O346" s="85"/>
      <c r="P346" s="32" t="str">
        <f>MID(AL346,5,5)</f>
        <v/>
      </c>
      <c r="Q346" s="381">
        <f>R343-3</f>
        <v>613564797</v>
      </c>
      <c r="R346" s="21">
        <f>((W346)/$S$2)+Q346</f>
        <v>614149095.70580232</v>
      </c>
      <c r="S346" s="21">
        <f>R346-Q346</f>
        <v>584298.70580232143</v>
      </c>
      <c r="T346" s="21">
        <f>S346*$S$2</f>
        <v>295460.29952462157</v>
      </c>
      <c r="U346" s="3">
        <v>0</v>
      </c>
      <c r="V346" s="20">
        <f>T346+U346*$V$38</f>
        <v>295460.29952462157</v>
      </c>
      <c r="W346" s="184">
        <f>X335</f>
        <v>295460.29952459713</v>
      </c>
      <c r="X346" s="344">
        <f>W346-V346</f>
        <v>-2.4447217583656311E-8</v>
      </c>
      <c r="Y346" s="343"/>
      <c r="Z346" s="342"/>
      <c r="AA346" s="78"/>
      <c r="AB346">
        <f>W346*8/1000000</f>
        <v>2.363682396196777</v>
      </c>
      <c r="AC346" s="130">
        <f>AK346+AC335</f>
        <v>80.815494551168328</v>
      </c>
      <c r="AH346" s="291"/>
      <c r="AJ346" s="41">
        <f>X346*8/1000000</f>
        <v>-1.955777406692505E-13</v>
      </c>
      <c r="AK346" s="41">
        <f>V346*8/1000000</f>
        <v>2.3636823961969724</v>
      </c>
      <c r="AQ346" s="299"/>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44">
        <f>W347-V347</f>
        <v>-2.6251655071973801E-8</v>
      </c>
      <c r="Y347" s="343"/>
      <c r="Z347" s="342"/>
      <c r="AA347" s="78">
        <f>AR347</f>
        <v>2.8357281000000003</v>
      </c>
      <c r="AC347" s="130">
        <f>AK347+AC346</f>
        <v>83.651222651168538</v>
      </c>
      <c r="AE347" s="100"/>
      <c r="AH347" s="291"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299">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43"/>
      <c r="Z348" s="342"/>
      <c r="AA348" s="78">
        <f>AR348</f>
        <v>8.1307665000000018</v>
      </c>
      <c r="AB348">
        <f>V348*8/1000000</f>
        <v>1.844734635377107</v>
      </c>
      <c r="AC348" s="130">
        <f>AK348+AC347</f>
        <v>85.495957286545647</v>
      </c>
      <c r="AE348" s="100"/>
      <c r="AH348" s="291"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299">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80"/>
      <c r="Y349" s="343"/>
      <c r="Z349" s="342"/>
      <c r="AA349" s="78"/>
      <c r="AC349" s="130"/>
      <c r="AE349" s="100"/>
      <c r="AH349" s="291"/>
      <c r="AJ349" s="41"/>
      <c r="AK349" s="41"/>
      <c r="AQ349" s="299"/>
    </row>
    <row r="350" spans="7:45" ht="13.5" customHeight="1">
      <c r="G350" s="176"/>
      <c r="H350" s="176"/>
      <c r="I350" s="176"/>
      <c r="J350" s="3"/>
      <c r="K350" s="3"/>
      <c r="L350" s="48"/>
      <c r="M350" s="48"/>
      <c r="O350" s="85"/>
      <c r="P350" s="194" t="s">
        <v>1187</v>
      </c>
      <c r="Q350" s="195" t="s">
        <v>770</v>
      </c>
      <c r="R350" s="304">
        <v>615306096</v>
      </c>
      <c r="S350" s="305">
        <v>615339021</v>
      </c>
      <c r="T350" s="21"/>
      <c r="U350" s="3"/>
      <c r="V350" s="193" t="s">
        <v>1252</v>
      </c>
      <c r="W350" s="192"/>
      <c r="X350" s="380"/>
      <c r="Y350" s="343"/>
      <c r="Z350" s="342"/>
      <c r="AA350" s="78"/>
      <c r="AC350" s="130"/>
      <c r="AE350" s="100"/>
      <c r="AH350" s="291"/>
      <c r="AJ350" s="41"/>
      <c r="AK350" s="41"/>
      <c r="AQ350" s="299"/>
    </row>
    <row r="351" spans="7:45" ht="13.5" customHeight="1">
      <c r="G351" s="176"/>
      <c r="H351" s="176"/>
      <c r="I351" s="176"/>
      <c r="J351" s="3"/>
      <c r="K351" s="3"/>
      <c r="L351" s="48"/>
      <c r="M351" s="48"/>
      <c r="N351" s="6" t="s">
        <v>1236</v>
      </c>
      <c r="O351" s="85" t="s">
        <v>19</v>
      </c>
      <c r="P351" s="297" t="s">
        <v>1188</v>
      </c>
      <c r="Q351" s="297" t="s">
        <v>1189</v>
      </c>
      <c r="R351" s="306">
        <v>615779216</v>
      </c>
      <c r="S351" s="297">
        <v>7</v>
      </c>
      <c r="T351" s="297" t="s">
        <v>27</v>
      </c>
      <c r="U351" s="297" t="s">
        <v>1190</v>
      </c>
      <c r="V351" s="297" t="s">
        <v>101</v>
      </c>
      <c r="W351" s="297" t="s">
        <v>102</v>
      </c>
      <c r="X351" s="297" t="s">
        <v>1191</v>
      </c>
      <c r="Y351" s="343"/>
      <c r="Z351" s="342"/>
      <c r="AA351" s="78"/>
      <c r="AC351" s="130"/>
      <c r="AE351" s="100"/>
      <c r="AH351" s="291"/>
      <c r="AJ351" s="41"/>
      <c r="AK351" s="41"/>
      <c r="AQ351" s="299"/>
    </row>
    <row r="352" spans="7:45" ht="13.5" customHeight="1">
      <c r="G352" s="176"/>
      <c r="H352" s="176"/>
      <c r="I352" s="176"/>
      <c r="J352" s="3"/>
      <c r="K352" s="3"/>
      <c r="L352" s="48"/>
      <c r="M352" s="48"/>
      <c r="O352" s="85"/>
      <c r="P352" s="297" t="s">
        <v>1192</v>
      </c>
      <c r="Q352" s="297" t="s">
        <v>1193</v>
      </c>
      <c r="R352" s="297">
        <v>615779236</v>
      </c>
      <c r="S352" s="297">
        <v>1</v>
      </c>
      <c r="T352" s="297" t="s">
        <v>27</v>
      </c>
      <c r="U352" s="297" t="s">
        <v>1190</v>
      </c>
      <c r="V352" s="297" t="s">
        <v>118</v>
      </c>
      <c r="W352" s="297"/>
      <c r="X352" s="297" t="s">
        <v>1191</v>
      </c>
      <c r="Y352" s="343"/>
      <c r="Z352" s="342"/>
      <c r="AA352" s="78"/>
      <c r="AC352" s="130"/>
      <c r="AE352" s="100"/>
      <c r="AH352" s="291"/>
      <c r="AJ352" s="41"/>
      <c r="AK352" s="41"/>
      <c r="AQ352" s="299"/>
    </row>
    <row r="353" spans="7:45" ht="13.5" customHeight="1">
      <c r="G353" s="176"/>
      <c r="H353" s="176"/>
      <c r="I353" s="176"/>
      <c r="J353" s="3"/>
      <c r="K353" s="3"/>
      <c r="L353" s="48"/>
      <c r="M353" s="48"/>
      <c r="O353" s="85"/>
      <c r="P353" s="297" t="s">
        <v>1194</v>
      </c>
      <c r="Q353" s="297" t="s">
        <v>1195</v>
      </c>
      <c r="R353" s="297">
        <v>615779241</v>
      </c>
      <c r="S353" s="297">
        <v>1</v>
      </c>
      <c r="T353" s="297" t="s">
        <v>27</v>
      </c>
      <c r="U353" s="297" t="s">
        <v>1190</v>
      </c>
      <c r="V353" s="297" t="s">
        <v>118</v>
      </c>
      <c r="W353" s="297"/>
      <c r="X353" s="297" t="s">
        <v>1191</v>
      </c>
      <c r="Y353" s="343"/>
      <c r="Z353" s="342"/>
      <c r="AA353" s="78"/>
      <c r="AC353" s="130"/>
      <c r="AE353" s="100"/>
      <c r="AH353" s="291"/>
      <c r="AJ353" s="41"/>
      <c r="AK353" s="41"/>
      <c r="AQ353" s="299"/>
    </row>
    <row r="354" spans="7:45" ht="13.5" customHeight="1">
      <c r="G354" s="176"/>
      <c r="H354" s="176"/>
      <c r="I354" s="176"/>
      <c r="J354" s="3"/>
      <c r="K354" s="3"/>
      <c r="L354" s="48"/>
      <c r="M354" s="48"/>
      <c r="O354" s="85"/>
      <c r="P354" s="297" t="s">
        <v>1198</v>
      </c>
      <c r="Q354" s="297" t="s">
        <v>1199</v>
      </c>
      <c r="R354" s="297">
        <v>615779712</v>
      </c>
      <c r="S354" s="297">
        <v>0</v>
      </c>
      <c r="T354" s="297" t="s">
        <v>111</v>
      </c>
      <c r="U354" s="297" t="s">
        <v>1190</v>
      </c>
      <c r="V354" s="297" t="s">
        <v>1180</v>
      </c>
      <c r="W354" s="297"/>
      <c r="X354" s="297" t="s">
        <v>1191</v>
      </c>
      <c r="Y354" s="343"/>
      <c r="Z354" s="342"/>
      <c r="AA354" s="78"/>
      <c r="AC354" s="130"/>
      <c r="AE354" s="100"/>
      <c r="AH354" s="291"/>
      <c r="AJ354" s="41"/>
      <c r="AK354" s="41"/>
      <c r="AQ354" s="299"/>
    </row>
    <row r="355" spans="7:45" ht="13.5" customHeight="1">
      <c r="G355" s="176"/>
      <c r="H355" s="176"/>
      <c r="I355" s="176"/>
      <c r="J355" s="3"/>
      <c r="K355" s="3"/>
      <c r="L355" s="48"/>
      <c r="M355" s="48"/>
      <c r="O355" s="85"/>
      <c r="P355" s="297" t="s">
        <v>1198</v>
      </c>
      <c r="Q355" s="297" t="s">
        <v>1199</v>
      </c>
      <c r="R355" s="297">
        <v>615779712</v>
      </c>
      <c r="S355" s="297">
        <v>0</v>
      </c>
      <c r="T355" s="297" t="s">
        <v>111</v>
      </c>
      <c r="U355" s="297" t="s">
        <v>1190</v>
      </c>
      <c r="V355" s="297" t="s">
        <v>1181</v>
      </c>
      <c r="W355" s="297"/>
      <c r="X355" s="297" t="s">
        <v>1191</v>
      </c>
      <c r="Y355" s="343"/>
      <c r="Z355" s="342"/>
      <c r="AA355" s="78"/>
      <c r="AC355" s="130"/>
      <c r="AE355" s="100"/>
      <c r="AH355" s="291"/>
      <c r="AJ355" s="41"/>
      <c r="AK355" s="41"/>
      <c r="AQ355" s="299"/>
    </row>
    <row r="356" spans="7:45" ht="13.5" customHeight="1">
      <c r="G356" s="176"/>
      <c r="H356" s="176"/>
      <c r="I356" s="176"/>
      <c r="J356" s="3"/>
      <c r="K356" s="3"/>
      <c r="L356" s="48"/>
      <c r="M356" s="48"/>
      <c r="O356" s="85"/>
      <c r="P356" s="297" t="s">
        <v>1198</v>
      </c>
      <c r="Q356" s="297" t="s">
        <v>1199</v>
      </c>
      <c r="R356" s="297">
        <v>615779712</v>
      </c>
      <c r="S356" s="297">
        <v>0</v>
      </c>
      <c r="T356" s="297" t="s">
        <v>111</v>
      </c>
      <c r="U356" s="297" t="s">
        <v>1190</v>
      </c>
      <c r="V356" s="297" t="s">
        <v>1182</v>
      </c>
      <c r="W356" s="297"/>
      <c r="X356" s="297" t="s">
        <v>1191</v>
      </c>
      <c r="Y356" s="343"/>
      <c r="Z356" s="342"/>
      <c r="AA356" s="78"/>
      <c r="AC356" s="130"/>
      <c r="AE356" s="100"/>
      <c r="AH356" s="291"/>
      <c r="AJ356" s="41"/>
      <c r="AK356" s="41"/>
      <c r="AQ356" s="299"/>
    </row>
    <row r="357" spans="7:45" ht="13.5" customHeight="1">
      <c r="G357" s="176"/>
      <c r="H357" s="176"/>
      <c r="I357" s="176"/>
      <c r="J357" s="3"/>
      <c r="K357" s="3"/>
      <c r="L357" s="48"/>
      <c r="M357" s="48"/>
      <c r="O357" s="85"/>
      <c r="P357" s="297" t="s">
        <v>1198</v>
      </c>
      <c r="Q357" s="297" t="s">
        <v>1199</v>
      </c>
      <c r="R357" s="297">
        <v>615779712</v>
      </c>
      <c r="S357" s="297">
        <v>0</v>
      </c>
      <c r="T357" s="297" t="s">
        <v>111</v>
      </c>
      <c r="U357" s="297" t="s">
        <v>1190</v>
      </c>
      <c r="V357" s="297" t="s">
        <v>113</v>
      </c>
      <c r="W357" s="297"/>
      <c r="X357" s="297" t="s">
        <v>1191</v>
      </c>
      <c r="Y357" s="343"/>
      <c r="Z357" s="342"/>
      <c r="AA357" s="78"/>
      <c r="AC357" s="130"/>
      <c r="AE357" s="100"/>
      <c r="AH357" s="291"/>
      <c r="AJ357" s="41"/>
      <c r="AK357" s="41"/>
      <c r="AQ357" s="299"/>
    </row>
    <row r="358" spans="7:45" ht="13.5" customHeight="1">
      <c r="G358" s="176"/>
      <c r="H358" s="176"/>
      <c r="I358" s="176"/>
      <c r="J358" s="3"/>
      <c r="K358" s="3"/>
      <c r="L358" s="48"/>
      <c r="M358" s="48"/>
      <c r="O358" s="85"/>
      <c r="P358" s="297" t="s">
        <v>1198</v>
      </c>
      <c r="Q358" s="297" t="s">
        <v>1199</v>
      </c>
      <c r="R358" s="297">
        <v>615779712</v>
      </c>
      <c r="S358" s="297">
        <v>0</v>
      </c>
      <c r="T358" s="297" t="s">
        <v>111</v>
      </c>
      <c r="U358" s="297" t="s">
        <v>1190</v>
      </c>
      <c r="V358" s="296" t="s">
        <v>1200</v>
      </c>
      <c r="W358" s="297"/>
      <c r="X358" s="297" t="s">
        <v>1191</v>
      </c>
      <c r="Y358" s="343"/>
      <c r="Z358" s="342"/>
      <c r="AA358" s="78"/>
      <c r="AC358" s="130"/>
      <c r="AE358" s="100"/>
      <c r="AH358" s="291"/>
      <c r="AJ358" s="41"/>
      <c r="AK358" s="41"/>
      <c r="AQ358" s="299"/>
    </row>
    <row r="359" spans="7:45" ht="13.5" customHeight="1">
      <c r="G359" s="176"/>
      <c r="H359" s="176"/>
      <c r="I359" s="176"/>
      <c r="J359" s="3"/>
      <c r="K359" s="3"/>
      <c r="L359" s="48"/>
      <c r="M359" s="48"/>
      <c r="O359" s="85"/>
      <c r="P359" s="297" t="s">
        <v>1198</v>
      </c>
      <c r="Q359" s="297" t="s">
        <v>1199</v>
      </c>
      <c r="R359" s="297">
        <v>615779712</v>
      </c>
      <c r="S359" s="297">
        <v>0</v>
      </c>
      <c r="T359" s="297" t="s">
        <v>1232</v>
      </c>
      <c r="U359" s="297" t="s">
        <v>1190</v>
      </c>
      <c r="V359" s="297" t="s">
        <v>1184</v>
      </c>
      <c r="W359" s="297"/>
      <c r="X359" s="297" t="s">
        <v>1191</v>
      </c>
      <c r="Y359" s="343"/>
      <c r="Z359" s="342"/>
      <c r="AA359" s="78"/>
      <c r="AC359" s="130"/>
      <c r="AE359" s="100"/>
      <c r="AH359" s="291"/>
      <c r="AJ359" s="41"/>
      <c r="AK359" s="41"/>
      <c r="AQ359" s="299"/>
    </row>
    <row r="360" spans="7:45" ht="13.5" customHeight="1">
      <c r="G360" s="176"/>
      <c r="H360" s="176"/>
      <c r="I360" s="176"/>
      <c r="J360" s="3"/>
      <c r="K360" s="3"/>
      <c r="L360" s="205" t="str" cm="1">
        <f t="array" aca="1" ref="L360" ca="1">MID(met2utc(Q361),3,12)</f>
        <v>25-206/19:54</v>
      </c>
      <c r="M360" s="48">
        <f>(218-206)*3600/1000000</f>
        <v>4.3200000000000002E-2</v>
      </c>
      <c r="O360" s="85"/>
      <c r="P360" s="297" t="s">
        <v>1198</v>
      </c>
      <c r="Q360" s="297" t="s">
        <v>1199</v>
      </c>
      <c r="R360" s="297">
        <v>615779712</v>
      </c>
      <c r="S360" s="297">
        <v>0</v>
      </c>
      <c r="T360" s="297" t="s">
        <v>111</v>
      </c>
      <c r="U360" s="297" t="s">
        <v>1190</v>
      </c>
      <c r="V360" s="297" t="s">
        <v>756</v>
      </c>
      <c r="W360" s="297"/>
      <c r="X360" s="297" t="s">
        <v>1191</v>
      </c>
      <c r="Y360" s="343"/>
      <c r="Z360" s="342"/>
      <c r="AA360" s="78"/>
      <c r="AC360" s="130"/>
      <c r="AE360" s="100"/>
      <c r="AH360" s="291"/>
      <c r="AJ360" s="41"/>
      <c r="AK360" s="41"/>
      <c r="AQ360" s="299"/>
    </row>
    <row r="361" spans="7:45" ht="13.5" customHeight="1">
      <c r="G361" s="176"/>
      <c r="H361" s="176"/>
      <c r="I361" s="176"/>
      <c r="J361" s="3" t="s">
        <v>228</v>
      </c>
      <c r="K361" s="3" t="s">
        <v>825</v>
      </c>
      <c r="L361" s="48" t="s">
        <v>1201</v>
      </c>
      <c r="M361" s="48" t="s">
        <v>1229</v>
      </c>
      <c r="N361" t="s">
        <v>1224</v>
      </c>
      <c r="O361" s="35" t="s">
        <v>1237</v>
      </c>
      <c r="P361" s="32" t="str">
        <f>MID(AL361,5,5)</f>
        <v/>
      </c>
      <c r="Q361" s="306">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43"/>
      <c r="Z361" s="342"/>
      <c r="AA361" s="78"/>
      <c r="AB361">
        <f>V361*8/1000000</f>
        <v>4.1627682416627847</v>
      </c>
      <c r="AC361" s="130">
        <f>AK361+AC348</f>
        <v>89.658725528208436</v>
      </c>
      <c r="AH361" s="291"/>
      <c r="AJ361" s="41">
        <f>X361*8/1000000</f>
        <v>2.1232636229601098</v>
      </c>
      <c r="AK361" s="41">
        <f>V361*8/1000000</f>
        <v>4.1627682416627847</v>
      </c>
      <c r="AL361" s="307"/>
      <c r="AM361" s="307"/>
      <c r="AN361" s="307"/>
      <c r="AO361" s="307"/>
      <c r="AP361" s="307"/>
      <c r="AQ361" s="308"/>
    </row>
    <row r="362" spans="7:45" ht="13.5" customHeight="1">
      <c r="G362" s="176"/>
      <c r="H362" s="176"/>
      <c r="I362" s="176"/>
      <c r="J362" s="3"/>
      <c r="K362" s="3"/>
      <c r="L362" s="48"/>
      <c r="M362" s="206" t="str" cm="1">
        <f t="array" aca="1" ref="M362" ca="1">MID(met2utc(R361),3,12)</f>
        <v>25-218/17:45</v>
      </c>
      <c r="O362" s="35"/>
      <c r="P362" s="292" t="s">
        <v>1204</v>
      </c>
      <c r="Q362" s="292" t="s">
        <v>1205</v>
      </c>
      <c r="R362" s="309">
        <v>616807877</v>
      </c>
      <c r="S362" s="292">
        <v>0</v>
      </c>
      <c r="T362" s="292" t="s">
        <v>111</v>
      </c>
      <c r="U362" s="292" t="s">
        <v>938</v>
      </c>
      <c r="V362" s="292" t="s">
        <v>1206</v>
      </c>
      <c r="W362" s="292"/>
      <c r="X362" s="292" t="s">
        <v>1207</v>
      </c>
      <c r="Y362" s="343"/>
      <c r="Z362" s="342"/>
      <c r="AA362" s="78"/>
      <c r="AC362" s="130"/>
      <c r="AE362" s="100"/>
      <c r="AH362" s="291"/>
      <c r="AJ362" s="41"/>
      <c r="AK362" s="41"/>
      <c r="AQ362" s="299"/>
    </row>
    <row r="363" spans="7:45" ht="13.5" customHeight="1">
      <c r="G363" s="176"/>
      <c r="H363" s="176"/>
      <c r="I363" s="176"/>
      <c r="J363" s="3"/>
      <c r="K363" s="3"/>
      <c r="L363" s="48"/>
      <c r="M363" s="48"/>
      <c r="O363" s="35" t="s">
        <v>1227</v>
      </c>
      <c r="P363" s="292" t="s">
        <v>1208</v>
      </c>
      <c r="Q363" s="292" t="s">
        <v>1209</v>
      </c>
      <c r="R363" s="310">
        <v>616808221</v>
      </c>
      <c r="S363" s="292">
        <v>1</v>
      </c>
      <c r="T363" s="292" t="s">
        <v>27</v>
      </c>
      <c r="U363" s="292" t="s">
        <v>357</v>
      </c>
      <c r="V363" s="292" t="s">
        <v>118</v>
      </c>
      <c r="W363" s="292"/>
      <c r="X363" s="292" t="s">
        <v>1207</v>
      </c>
      <c r="Y363" s="343"/>
      <c r="Z363" s="342"/>
      <c r="AA363" s="78"/>
      <c r="AC363" s="130"/>
      <c r="AE363" s="100"/>
      <c r="AH363" s="291"/>
      <c r="AJ363" s="41"/>
      <c r="AK363" s="41"/>
      <c r="AQ363" s="299"/>
    </row>
    <row r="364" spans="7:45" ht="13.5" customHeight="1">
      <c r="G364" s="176"/>
      <c r="H364" s="176"/>
      <c r="I364" s="176"/>
      <c r="J364" s="3"/>
      <c r="K364" s="3"/>
      <c r="L364" s="48"/>
      <c r="M364" s="48"/>
      <c r="O364" s="85" t="s">
        <v>1226</v>
      </c>
      <c r="P364" s="292" t="s">
        <v>1030</v>
      </c>
      <c r="Q364" s="292" t="s">
        <v>1031</v>
      </c>
      <c r="R364" s="311">
        <v>616842836</v>
      </c>
      <c r="S364" s="292">
        <v>7</v>
      </c>
      <c r="T364" s="292" t="s">
        <v>27</v>
      </c>
      <c r="U364" s="292" t="s">
        <v>1032</v>
      </c>
      <c r="V364" s="292" t="s">
        <v>101</v>
      </c>
      <c r="W364" s="292" t="s">
        <v>102</v>
      </c>
      <c r="X364" s="292" t="s">
        <v>1033</v>
      </c>
      <c r="Y364" s="343"/>
      <c r="Z364" s="342"/>
      <c r="AA364" s="78"/>
      <c r="AC364" s="130"/>
      <c r="AE364" s="100"/>
      <c r="AH364" s="291"/>
      <c r="AJ364" s="41"/>
      <c r="AK364" s="41"/>
      <c r="AQ364" s="299"/>
    </row>
    <row r="365" spans="7:45" ht="13.5" customHeight="1">
      <c r="G365" s="176"/>
      <c r="H365" s="176"/>
      <c r="I365" s="176"/>
      <c r="J365" s="3"/>
      <c r="K365" s="3"/>
      <c r="L365" s="205" t="str" cm="1">
        <f t="array" aca="1" ref="L365" ca="1">MID(met2utc(Q366),3,12)</f>
        <v>25-219/03:21</v>
      </c>
      <c r="M365" s="48"/>
      <c r="O365" s="85"/>
      <c r="P365" s="293" t="s">
        <v>1210</v>
      </c>
      <c r="Q365" s="293" t="s">
        <v>1211</v>
      </c>
      <c r="R365" s="312">
        <v>616843328</v>
      </c>
      <c r="S365" s="293">
        <v>0</v>
      </c>
      <c r="T365" s="293" t="s">
        <v>111</v>
      </c>
      <c r="U365" s="293" t="s">
        <v>1032</v>
      </c>
      <c r="V365" s="293" t="s">
        <v>1200</v>
      </c>
      <c r="W365" s="293"/>
      <c r="X365" s="293" t="s">
        <v>1033</v>
      </c>
      <c r="Y365" s="343"/>
      <c r="Z365" s="342"/>
      <c r="AA365" s="78"/>
      <c r="AC365" s="130"/>
      <c r="AE365" s="100"/>
      <c r="AH365" s="291"/>
      <c r="AJ365" s="41"/>
      <c r="AK365" s="41"/>
      <c r="AQ365" s="299"/>
    </row>
    <row r="366" spans="7:45" ht="13.5" customHeight="1">
      <c r="J366" s="3" t="s">
        <v>228</v>
      </c>
      <c r="K366" s="3" t="s">
        <v>825</v>
      </c>
      <c r="L366" s="48" t="s">
        <v>1228</v>
      </c>
      <c r="M366" s="48" t="s">
        <v>1238</v>
      </c>
      <c r="N366" t="s">
        <v>1230</v>
      </c>
      <c r="O366" s="35" t="s">
        <v>1226</v>
      </c>
      <c r="P366" s="32" t="str">
        <f>MID(AL366,5,5)</f>
        <v/>
      </c>
      <c r="Q366" s="379">
        <f>R364-5</f>
        <v>616842831</v>
      </c>
      <c r="R366" s="21">
        <f>((W366)/$S$2)+Q366</f>
        <v>617367698.54945111</v>
      </c>
      <c r="S366" s="21">
        <f>R366-Q366</f>
        <v>524867.54945111275</v>
      </c>
      <c r="T366" s="21">
        <f>S366*$S$2</f>
        <v>265407.95286999206</v>
      </c>
      <c r="U366" s="3">
        <v>0</v>
      </c>
      <c r="V366" s="20">
        <f>T366+U366*$V$38</f>
        <v>265407.95286999206</v>
      </c>
      <c r="W366" s="184">
        <f>X361</f>
        <v>265407.95287001372</v>
      </c>
      <c r="X366" s="344">
        <f>W366-V366</f>
        <v>2.1653249859809875E-8</v>
      </c>
      <c r="Y366" s="343"/>
      <c r="Z366" s="342"/>
      <c r="AA366" s="78"/>
      <c r="AB366">
        <f>V366*8/1000000</f>
        <v>2.1232636229599366</v>
      </c>
      <c r="AC366" s="130">
        <f>AK366+AC361</f>
        <v>91.781989151168375</v>
      </c>
      <c r="AH366" s="291"/>
      <c r="AJ366" s="41">
        <f>X366*8/1000000</f>
        <v>1.73225998878479E-13</v>
      </c>
      <c r="AK366" s="41">
        <f>V366*8/1000000</f>
        <v>2.1232636229599366</v>
      </c>
      <c r="AL366" s="307"/>
      <c r="AM366" s="307"/>
      <c r="AN366" s="307"/>
      <c r="AO366" s="307"/>
      <c r="AP366" s="307"/>
      <c r="AQ366" s="308"/>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44">
        <f>W367-V367</f>
        <v>2.3748725652694702E-8</v>
      </c>
      <c r="Y367" s="343"/>
      <c r="Z367" s="342"/>
      <c r="AA367" s="78">
        <f>AR367</f>
        <v>16.904185200000001</v>
      </c>
      <c r="AC367" s="130">
        <f>AK367+AC348</f>
        <v>102.40014248654546</v>
      </c>
      <c r="AH367" s="291" t="str">
        <f>AL367</f>
        <v>TRK_216_2</v>
      </c>
      <c r="AI367" t="s">
        <v>1121</v>
      </c>
      <c r="AJ367" s="41">
        <f>X367*8/1000000</f>
        <v>1.8998980522155762E-13</v>
      </c>
      <c r="AK367" s="41">
        <f>V367*8/1000000</f>
        <v>16.904185199999809</v>
      </c>
      <c r="AL367" s="307" t="s">
        <v>1092</v>
      </c>
      <c r="AM367" s="307" t="s">
        <v>1093</v>
      </c>
      <c r="AN367" s="307">
        <v>0.265287</v>
      </c>
      <c r="AO367" s="307">
        <v>2.399654</v>
      </c>
      <c r="AP367" s="307">
        <v>2.1343670000000001</v>
      </c>
      <c r="AQ367" s="308">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44">
        <f>W368-V368</f>
        <v>2.7706846594810486E-8</v>
      </c>
      <c r="Y368" s="343"/>
      <c r="Z368" s="342"/>
      <c r="AA368" s="78">
        <f>AR368</f>
        <v>2.6176166999999997</v>
      </c>
      <c r="AC368" s="130">
        <f>AK368+AC367</f>
        <v>105.01775918654523</v>
      </c>
      <c r="AH368" s="291"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299">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44">
        <f>W369-V369</f>
        <v>1.9557774066925049E-8</v>
      </c>
      <c r="Y369" s="343"/>
      <c r="Z369" s="342"/>
      <c r="AA369" s="78">
        <f>AR369</f>
        <v>8.8730405999999995</v>
      </c>
      <c r="AC369" s="130">
        <f>AK369+AC368</f>
        <v>113.89079978654507</v>
      </c>
      <c r="AH369" s="291"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299">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44">
        <f>W370-V370</f>
        <v>0</v>
      </c>
      <c r="Y370" s="343"/>
      <c r="Z370" s="342"/>
      <c r="AA370" s="78">
        <f>AR370</f>
        <v>9.1141325999999996</v>
      </c>
      <c r="AC370" s="130">
        <f>AK370+AC369</f>
        <v>123.00493238654508</v>
      </c>
      <c r="AH370" s="291" t="str">
        <f>AL370</f>
        <v>TRK_218_2</v>
      </c>
      <c r="AI370" t="s">
        <v>1124</v>
      </c>
      <c r="AJ370" s="41">
        <f>X370*8/1000000</f>
        <v>0</v>
      </c>
      <c r="AK370" s="41">
        <f>V370*8/1000000</f>
        <v>9.1141326000000031</v>
      </c>
      <c r="AL370" t="s">
        <v>1098</v>
      </c>
      <c r="AM370" t="s">
        <v>1099</v>
      </c>
      <c r="AN370">
        <v>0.186725</v>
      </c>
      <c r="AO370">
        <v>1.337499</v>
      </c>
      <c r="AP370">
        <v>1.150774</v>
      </c>
      <c r="AQ370" s="299">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89" t="s">
        <v>1149</v>
      </c>
      <c r="Q371" s="313" t="s">
        <v>1150</v>
      </c>
      <c r="R371" s="313">
        <v>646883515</v>
      </c>
      <c r="S371" s="289">
        <v>0</v>
      </c>
      <c r="T371" s="289" t="s">
        <v>409</v>
      </c>
      <c r="U371" s="289" t="s">
        <v>1151</v>
      </c>
      <c r="V371" s="289" t="s">
        <v>573</v>
      </c>
      <c r="W371" s="289"/>
      <c r="X371" s="289" t="s">
        <v>1139</v>
      </c>
    </row>
    <row r="372" spans="3:45" ht="13.5" customHeight="1">
      <c r="J372" s="3"/>
      <c r="K372" s="3"/>
      <c r="P372" s="289" t="s">
        <v>1136</v>
      </c>
      <c r="Q372" s="313" t="s">
        <v>1137</v>
      </c>
      <c r="R372" s="313">
        <v>646884115</v>
      </c>
      <c r="S372" s="289">
        <v>0</v>
      </c>
      <c r="T372" s="289" t="s">
        <v>409</v>
      </c>
      <c r="U372" s="289" t="s">
        <v>1138</v>
      </c>
      <c r="V372" s="313" t="s">
        <v>802</v>
      </c>
      <c r="W372" s="289"/>
      <c r="X372" s="289" t="s">
        <v>1139</v>
      </c>
    </row>
    <row r="373" spans="3:45" ht="13.5" customHeight="1">
      <c r="H373" t="s">
        <v>53</v>
      </c>
      <c r="J373" s="3"/>
      <c r="K373" s="3"/>
      <c r="P373" s="289" t="s">
        <v>1140</v>
      </c>
      <c r="Q373" s="289" t="s">
        <v>1141</v>
      </c>
      <c r="R373" s="289">
        <v>646884118</v>
      </c>
      <c r="S373" s="289">
        <v>0</v>
      </c>
      <c r="T373" s="289" t="s">
        <v>409</v>
      </c>
      <c r="U373" s="289" t="s">
        <v>1138</v>
      </c>
      <c r="V373" s="313" t="s">
        <v>808</v>
      </c>
      <c r="W373" s="289"/>
      <c r="X373" s="289" t="s">
        <v>1139</v>
      </c>
    </row>
    <row r="374" spans="3:45" ht="13.5" customHeight="1">
      <c r="J374" s="3"/>
      <c r="K374" s="3"/>
      <c r="L374" s="3"/>
      <c r="M374" s="3"/>
      <c r="N374" s="3"/>
      <c r="O374" s="3"/>
      <c r="P374" s="289" t="s">
        <v>1142</v>
      </c>
      <c r="Q374" s="289" t="s">
        <v>1143</v>
      </c>
      <c r="R374" s="289">
        <v>646884121</v>
      </c>
      <c r="S374" s="289">
        <v>0</v>
      </c>
      <c r="T374" s="289" t="s">
        <v>409</v>
      </c>
      <c r="U374" s="289" t="s">
        <v>1138</v>
      </c>
      <c r="V374" s="313" t="s">
        <v>445</v>
      </c>
      <c r="W374" s="289"/>
      <c r="X374" s="289" t="s">
        <v>1139</v>
      </c>
    </row>
    <row r="375" spans="3:45" ht="13.5" customHeight="1">
      <c r="J375" s="3"/>
      <c r="K375" s="3"/>
      <c r="L375" s="3"/>
      <c r="M375" s="3"/>
      <c r="N375" s="3"/>
      <c r="O375" s="3"/>
      <c r="P375" s="289" t="s">
        <v>1144</v>
      </c>
      <c r="Q375" s="289" t="s">
        <v>1145</v>
      </c>
      <c r="R375" s="289">
        <v>646884124</v>
      </c>
      <c r="S375" s="289">
        <v>0</v>
      </c>
      <c r="T375" s="289" t="s">
        <v>409</v>
      </c>
      <c r="U375" s="289" t="s">
        <v>1138</v>
      </c>
      <c r="V375" s="313" t="s">
        <v>449</v>
      </c>
      <c r="W375" s="289"/>
      <c r="X375" s="289"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89" t="s">
        <v>1146</v>
      </c>
      <c r="Q376" s="289" t="s">
        <v>1147</v>
      </c>
      <c r="R376" s="289">
        <v>646884715</v>
      </c>
      <c r="S376" s="289">
        <v>0</v>
      </c>
      <c r="T376" s="289" t="s">
        <v>409</v>
      </c>
      <c r="U376" s="289" t="s">
        <v>1148</v>
      </c>
      <c r="V376" s="289" t="s">
        <v>411</v>
      </c>
      <c r="W376" s="289"/>
      <c r="X376" s="289" t="s">
        <v>1139</v>
      </c>
    </row>
    <row r="377" spans="3:45" ht="13.5" customHeight="1">
      <c r="J377" s="3"/>
      <c r="K377" s="3"/>
      <c r="L377" s="3" t="s">
        <v>1265</v>
      </c>
      <c r="M377" s="205" t="str" cm="1">
        <f t="array" aca="1" ref="M377" ca="1">MID(met2utc(R378),3,12)</f>
        <v>26-208/16:54</v>
      </c>
      <c r="N377" s="3"/>
      <c r="O377" s="3"/>
      <c r="P377" s="289" t="s">
        <v>1152</v>
      </c>
      <c r="Q377" s="289" t="s">
        <v>1153</v>
      </c>
      <c r="R377" s="289">
        <v>646885315</v>
      </c>
      <c r="S377" s="289">
        <v>0</v>
      </c>
      <c r="T377" s="289" t="s">
        <v>409</v>
      </c>
      <c r="U377" s="289" t="s">
        <v>1154</v>
      </c>
      <c r="V377" s="289" t="s">
        <v>1155</v>
      </c>
      <c r="W377" s="289"/>
      <c r="X377" s="289"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44">
        <f>W378-V378</f>
        <v>2.123415470123291E-7</v>
      </c>
      <c r="Y378" s="343"/>
      <c r="Z378" s="342"/>
      <c r="AA378" s="78">
        <f>AQ378</f>
        <v>23.440767000000001</v>
      </c>
      <c r="AC378" s="119">
        <f>AK378</f>
        <v>23.440766999998303</v>
      </c>
      <c r="AH378" s="291" t="str">
        <f>AL378</f>
        <v>TRK_218_3</v>
      </c>
      <c r="AI378" t="s">
        <v>1125</v>
      </c>
      <c r="AJ378" s="41">
        <f>X378*8/1000000</f>
        <v>1.6987323760986329E-12</v>
      </c>
      <c r="AK378" s="41">
        <f>V378*8/1000000</f>
        <v>23.440766999998303</v>
      </c>
      <c r="AL378" s="314" t="s">
        <v>1100</v>
      </c>
      <c r="AM378" s="314" t="s">
        <v>1101</v>
      </c>
      <c r="AN378" s="314">
        <v>0.19877600000000001</v>
      </c>
      <c r="AO378" s="314">
        <v>2.8624990000000001</v>
      </c>
      <c r="AP378" s="314">
        <v>2.6637230000000001</v>
      </c>
      <c r="AQ378" s="315">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44">
        <f>W379-V379</f>
        <v>-8.8708475232124329E-8</v>
      </c>
      <c r="Y379" s="343"/>
      <c r="Z379" s="342"/>
      <c r="AA379" s="78">
        <f>AQ379</f>
        <v>10.758489000000001</v>
      </c>
      <c r="AC379" s="119">
        <f>AC378+AK379</f>
        <v>34.199255999999011</v>
      </c>
      <c r="AH379" s="291" t="str">
        <f>AL379</f>
        <v>TRK_219_1</v>
      </c>
      <c r="AI379" t="s">
        <v>1126</v>
      </c>
      <c r="AJ379" s="41">
        <f>X379*8/1000000</f>
        <v>-7.0966780185699461E-13</v>
      </c>
      <c r="AK379" s="41">
        <f>V379*8/1000000</f>
        <v>10.75848900000071</v>
      </c>
      <c r="AL379" s="314" t="s">
        <v>42</v>
      </c>
      <c r="AM379" s="314" t="s">
        <v>1102</v>
      </c>
      <c r="AN379" s="314">
        <v>0.35693000000000003</v>
      </c>
      <c r="AO379" s="314">
        <v>1.5794859999999999</v>
      </c>
      <c r="AP379" s="314">
        <v>1.222556</v>
      </c>
      <c r="AQ379" s="315">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44">
        <f>W380-V380</f>
        <v>-8.6612999439239502E-8</v>
      </c>
      <c r="Y380" s="343"/>
      <c r="Z380" s="342"/>
      <c r="AA380" s="78">
        <f>AQ380</f>
        <v>26.977333999999999</v>
      </c>
      <c r="AC380" s="119">
        <f>AC379+AK380</f>
        <v>61.176589999999706</v>
      </c>
      <c r="AH380" s="291" t="str">
        <f>AL380</f>
        <v>TRK_220_1</v>
      </c>
      <c r="AI380" t="s">
        <v>1127</v>
      </c>
      <c r="AJ380" s="41">
        <f>X380*8/1000000</f>
        <v>-6.92903995513916E-13</v>
      </c>
      <c r="AK380" s="41">
        <f>V380*8/1000000</f>
        <v>26.977334000000692</v>
      </c>
      <c r="AL380" s="314" t="s">
        <v>1103</v>
      </c>
      <c r="AM380" s="314" t="s">
        <v>1104</v>
      </c>
      <c r="AN380" s="314">
        <v>0.22890099999999999</v>
      </c>
      <c r="AO380" s="314">
        <v>3.2945069999999999</v>
      </c>
      <c r="AP380" s="314">
        <v>3.0656059999999998</v>
      </c>
      <c r="AQ380" s="315">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44">
        <f>W381-V381</f>
        <v>1.9790604710578918E-9</v>
      </c>
      <c r="Y381" s="343"/>
      <c r="Z381" s="342"/>
      <c r="AA381" s="78">
        <f>AR381</f>
        <v>7.4125403999999993</v>
      </c>
      <c r="AC381" s="130">
        <f>AK381+AC370</f>
        <v>130.41747278654506</v>
      </c>
      <c r="AH381" s="291"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299">
        <v>8.2361559999999994</v>
      </c>
      <c r="AR381">
        <f>AQ381*0.9</f>
        <v>7.4125403999999993</v>
      </c>
      <c r="AS381">
        <f>AS380+AR381</f>
        <v>252.27041220000004</v>
      </c>
    </row>
    <row r="382" spans="3:45" ht="13.5" customHeight="1">
      <c r="J382" s="3" t="s">
        <v>228</v>
      </c>
      <c r="K382" s="3" t="s">
        <v>825</v>
      </c>
      <c r="L382" s="48" t="str">
        <f>M381</f>
        <v>25-342/17:45</v>
      </c>
      <c r="M382" s="48" t="s">
        <v>1244</v>
      </c>
      <c r="N382" t="s">
        <v>5623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44">
        <f>W382-V382</f>
        <v>-2.5611370801925659E-8</v>
      </c>
      <c r="Y382" s="343"/>
      <c r="Z382" s="342"/>
      <c r="AA382" s="78">
        <f>AR382</f>
        <v>11.412846</v>
      </c>
      <c r="AC382" s="130">
        <f>AK382+AC381</f>
        <v>141.83031878654526</v>
      </c>
      <c r="AD382" s="100"/>
      <c r="AH382" s="291" t="str">
        <f>AL382</f>
        <v>TRK_221_2</v>
      </c>
      <c r="AI382" t="s">
        <v>1129</v>
      </c>
      <c r="AJ382" s="41">
        <f>X382*8/1000000</f>
        <v>-2.0489096641540528E-13</v>
      </c>
      <c r="AK382" s="41">
        <f>V382*8/1000000</f>
        <v>11.412846000000204</v>
      </c>
      <c r="AL382" t="s">
        <v>1107</v>
      </c>
      <c r="AM382" t="s">
        <v>1108</v>
      </c>
      <c r="AN382">
        <v>0.179698</v>
      </c>
      <c r="AO382">
        <v>1.620714</v>
      </c>
      <c r="AP382">
        <v>1.4410160000000001</v>
      </c>
      <c r="AQ382" s="299">
        <v>12.68094</v>
      </c>
      <c r="AR382">
        <f>AQ382*0.9</f>
        <v>11.412846</v>
      </c>
      <c r="AS382" s="316">
        <f>AS381+AR382</f>
        <v>263.68325820000001</v>
      </c>
    </row>
    <row r="383" spans="3:45" ht="13.5" customHeight="1">
      <c r="M383" s="206" t="str" cm="1">
        <f t="array" aca="1" ref="M383" ca="1">MID(met2utc(R382),3,12)</f>
        <v>26-021/09:25</v>
      </c>
      <c r="AK383" s="41"/>
      <c r="AQ383" s="299">
        <f>SUM(AQ312:AQ382)</f>
        <v>292.98139800000007</v>
      </c>
      <c r="AR383" s="316">
        <f>SUM(AR312:AR382)</f>
        <v>263.68325820000001</v>
      </c>
      <c r="AS383">
        <f>AR383-AS382</f>
        <v>0</v>
      </c>
    </row>
    <row r="385" spans="10:30" ht="13.5" customHeight="1">
      <c r="J385" t="s">
        <v>228</v>
      </c>
      <c r="K385" t="s">
        <v>825</v>
      </c>
      <c r="L385" s="48" t="str">
        <f>M382</f>
        <v>26-021/09:25</v>
      </c>
      <c r="M385" s="48" t="s">
        <v>1255</v>
      </c>
      <c r="N385" t="s">
        <v>5623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44">
        <f>W385-V385</f>
        <v>-1.5599653124809265E-8</v>
      </c>
      <c r="Y385" s="343"/>
      <c r="Z385" s="342"/>
      <c r="AA385" s="78">
        <v>12</v>
      </c>
      <c r="AC385" s="130">
        <f>AC382+AA385</f>
        <v>153.83031878654526</v>
      </c>
      <c r="AD385" s="100">
        <f>AC385-AC361</f>
        <v>64.171593258336827</v>
      </c>
    </row>
    <row r="386" spans="10:30" ht="13.5" customHeight="1">
      <c r="M386" s="206" t="str" cm="1">
        <f t="array" aca="1" ref="M386" ca="1">MID(met2utc(R385),3,12)</f>
        <v>26-055/17:25</v>
      </c>
      <c r="O386" s="85" t="s">
        <v>1256</v>
      </c>
    </row>
    <row r="390" spans="10:30" ht="15"/>
    <row r="391" spans="10:30" ht="15"/>
    <row r="392" spans="10:30" ht="15"/>
    <row r="393" spans="10:30" ht="15"/>
    <row r="394" spans="10:30" ht="15">
      <c r="Z394" s="320"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5564</v>
      </c>
      <c r="AD401" t="s">
        <v>5455</v>
      </c>
      <c r="AE401" t="s">
        <v>5454</v>
      </c>
      <c r="AF401" t="s">
        <v>5453</v>
      </c>
      <c r="AG401" t="s">
        <v>5452</v>
      </c>
      <c r="AJ401" s="3"/>
      <c r="AK401" s="3"/>
    </row>
    <row r="402" spans="3:40" ht="13.5" customHeight="1">
      <c r="O402" t="s">
        <v>5697</v>
      </c>
      <c r="P402" s="289" t="s">
        <v>5696</v>
      </c>
      <c r="Q402" s="289" t="s">
        <v>5695</v>
      </c>
      <c r="R402" s="378">
        <v>616843136</v>
      </c>
      <c r="S402" s="289">
        <v>7</v>
      </c>
      <c r="T402" s="289" t="s">
        <v>27</v>
      </c>
      <c r="U402" s="289" t="s">
        <v>1032</v>
      </c>
      <c r="V402" s="289" t="s">
        <v>151</v>
      </c>
      <c r="W402" s="289" t="s">
        <v>152</v>
      </c>
      <c r="X402" s="289" t="s">
        <v>5669</v>
      </c>
      <c r="Y402" s="375"/>
      <c r="Z402" s="375"/>
      <c r="AA402" s="375"/>
      <c r="AJ402" s="3"/>
      <c r="AK402" s="3"/>
    </row>
    <row r="403" spans="3:40" ht="13.5" customHeight="1">
      <c r="O403" t="s">
        <v>5694</v>
      </c>
      <c r="P403" s="289" t="s">
        <v>5693</v>
      </c>
      <c r="Q403" s="289" t="s">
        <v>5692</v>
      </c>
      <c r="R403" s="377">
        <v>616844816</v>
      </c>
      <c r="S403" s="289">
        <v>0</v>
      </c>
      <c r="T403" s="289" t="s">
        <v>409</v>
      </c>
      <c r="U403" s="289" t="s">
        <v>367</v>
      </c>
      <c r="V403" s="289" t="s">
        <v>802</v>
      </c>
      <c r="W403" s="289"/>
      <c r="X403" s="289" t="s">
        <v>5669</v>
      </c>
      <c r="Y403" s="375"/>
      <c r="Z403" s="375"/>
      <c r="AA403" s="375"/>
      <c r="AJ403" s="3"/>
      <c r="AK403" s="3"/>
    </row>
    <row r="404" spans="3:40" ht="13.5" customHeight="1">
      <c r="O404" t="s">
        <v>5691</v>
      </c>
      <c r="P404" s="289" t="s">
        <v>5690</v>
      </c>
      <c r="Q404" s="289" t="s">
        <v>5689</v>
      </c>
      <c r="R404" s="289">
        <v>616844819</v>
      </c>
      <c r="S404" s="289">
        <v>0</v>
      </c>
      <c r="T404" s="289" t="s">
        <v>409</v>
      </c>
      <c r="U404" s="289" t="s">
        <v>367</v>
      </c>
      <c r="V404" s="289" t="s">
        <v>808</v>
      </c>
      <c r="W404" s="289"/>
      <c r="X404" s="376" t="s">
        <v>5669</v>
      </c>
      <c r="Y404" s="375"/>
      <c r="Z404" s="375"/>
      <c r="AA404" s="375"/>
      <c r="AJ404" s="3"/>
      <c r="AK404" s="3"/>
    </row>
    <row r="405" spans="3:40" ht="13.5" customHeight="1">
      <c r="O405" t="s">
        <v>5688</v>
      </c>
      <c r="P405" s="289" t="s">
        <v>5687</v>
      </c>
      <c r="Q405" s="289" t="s">
        <v>5686</v>
      </c>
      <c r="R405" s="289">
        <v>616844822</v>
      </c>
      <c r="S405" s="289">
        <v>0</v>
      </c>
      <c r="T405" s="289" t="s">
        <v>409</v>
      </c>
      <c r="U405" s="289" t="s">
        <v>367</v>
      </c>
      <c r="V405" s="289" t="s">
        <v>813</v>
      </c>
      <c r="W405" s="289"/>
      <c r="X405" s="289" t="s">
        <v>5669</v>
      </c>
      <c r="Y405" s="375"/>
      <c r="Z405" s="375"/>
      <c r="AA405" s="375"/>
      <c r="AJ405" s="3"/>
      <c r="AK405" s="3"/>
    </row>
    <row r="406" spans="3:40" ht="13.5" customHeight="1">
      <c r="O406" t="s">
        <v>5685</v>
      </c>
      <c r="P406" s="289" t="s">
        <v>5684</v>
      </c>
      <c r="Q406" s="289" t="s">
        <v>5683</v>
      </c>
      <c r="R406" s="289">
        <v>616844825</v>
      </c>
      <c r="S406" s="289">
        <v>0</v>
      </c>
      <c r="T406" s="289" t="s">
        <v>409</v>
      </c>
      <c r="U406" s="289" t="s">
        <v>367</v>
      </c>
      <c r="V406" s="289" t="s">
        <v>449</v>
      </c>
      <c r="W406" s="289"/>
      <c r="X406" s="289" t="s">
        <v>5669</v>
      </c>
      <c r="Y406" s="375"/>
      <c r="Z406" s="375"/>
      <c r="AA406" s="375"/>
      <c r="AJ406" s="3"/>
      <c r="AK406" s="3"/>
    </row>
    <row r="407" spans="3:40" ht="13.5" customHeight="1">
      <c r="O407" t="s">
        <v>5682</v>
      </c>
      <c r="P407" s="289" t="s">
        <v>5681</v>
      </c>
      <c r="Q407" s="289" t="s">
        <v>5680</v>
      </c>
      <c r="R407" s="289">
        <v>616844876</v>
      </c>
      <c r="S407" s="289">
        <v>0</v>
      </c>
      <c r="T407" s="289" t="s">
        <v>409</v>
      </c>
      <c r="U407" s="289" t="s">
        <v>367</v>
      </c>
      <c r="V407" s="289" t="s">
        <v>940</v>
      </c>
      <c r="W407" s="289"/>
      <c r="X407" s="289" t="s">
        <v>5669</v>
      </c>
      <c r="Y407" s="375"/>
      <c r="Z407" s="375"/>
      <c r="AA407" s="375"/>
      <c r="AB407" t="s">
        <v>5679</v>
      </c>
      <c r="AJ407" s="3"/>
      <c r="AK407" s="3"/>
    </row>
    <row r="408" spans="3:40" ht="13.5" customHeight="1">
      <c r="O408" t="s">
        <v>5678</v>
      </c>
      <c r="P408" s="289" t="s">
        <v>5677</v>
      </c>
      <c r="Q408" s="289" t="s">
        <v>5676</v>
      </c>
      <c r="R408" s="289">
        <v>616845476</v>
      </c>
      <c r="S408" s="289">
        <v>0</v>
      </c>
      <c r="T408" s="289" t="s">
        <v>409</v>
      </c>
      <c r="U408" s="289" t="s">
        <v>5675</v>
      </c>
      <c r="V408" s="289" t="s">
        <v>818</v>
      </c>
      <c r="W408" s="289"/>
      <c r="X408" s="289" t="s">
        <v>5669</v>
      </c>
      <c r="Y408" s="375"/>
      <c r="Z408" s="375"/>
      <c r="AA408" s="375"/>
      <c r="AB408" t="s">
        <v>5674</v>
      </c>
      <c r="AJ408" s="3"/>
      <c r="AK408" s="3"/>
    </row>
    <row r="409" spans="3:40" ht="13.5" customHeight="1">
      <c r="O409" t="s">
        <v>5673</v>
      </c>
      <c r="P409" s="289" t="s">
        <v>5672</v>
      </c>
      <c r="Q409" s="289" t="s">
        <v>5671</v>
      </c>
      <c r="R409" s="289">
        <v>616846076</v>
      </c>
      <c r="S409" s="289">
        <v>0</v>
      </c>
      <c r="T409" s="289" t="s">
        <v>409</v>
      </c>
      <c r="U409" s="289" t="s">
        <v>5670</v>
      </c>
      <c r="V409" s="289" t="s">
        <v>965</v>
      </c>
      <c r="W409" s="289"/>
      <c r="X409" s="289" t="s">
        <v>5669</v>
      </c>
      <c r="Y409" s="375"/>
      <c r="Z409" s="375"/>
      <c r="AA409" s="375"/>
      <c r="AJ409" s="3"/>
      <c r="AK409" s="3"/>
    </row>
    <row r="410" spans="3:40" ht="13.5" customHeight="1">
      <c r="AJ410" s="3"/>
      <c r="AK410" s="3"/>
    </row>
    <row r="411" spans="3:40" ht="15">
      <c r="L411" t="s">
        <v>5668</v>
      </c>
      <c r="M411" t="s">
        <v>5667</v>
      </c>
      <c r="T411" s="374" t="s">
        <v>5666</v>
      </c>
      <c r="U411" s="3"/>
      <c r="V411" s="374" t="s">
        <v>5666</v>
      </c>
      <c r="W411" t="s">
        <v>5665</v>
      </c>
      <c r="X411" s="373" t="s">
        <v>1015</v>
      </c>
      <c r="AH411" t="s">
        <v>5664</v>
      </c>
      <c r="AI411" t="s">
        <v>5663</v>
      </c>
      <c r="AJ411" t="s">
        <v>5662</v>
      </c>
      <c r="AK411" t="s">
        <v>742</v>
      </c>
      <c r="AL411" t="s">
        <v>743</v>
      </c>
      <c r="AM411" t="s">
        <v>745</v>
      </c>
      <c r="AN411" s="340" t="s">
        <v>5661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5660</v>
      </c>
      <c r="O412" s="338" t="str">
        <f>AG412</f>
        <v>222/21:49</v>
      </c>
      <c r="P412" s="32" t="str">
        <f>MID(AH412,5,5)</f>
        <v>222_2</v>
      </c>
      <c r="Q412" s="353">
        <f>R402-5</f>
        <v>616843131</v>
      </c>
      <c r="R412" s="353">
        <f>R403</f>
        <v>616844816</v>
      </c>
      <c r="S412" s="21">
        <f>R412-Q412</f>
        <v>1685</v>
      </c>
      <c r="T412" s="21">
        <f>$V$38</f>
        <v>197375</v>
      </c>
      <c r="U412" s="3">
        <v>1</v>
      </c>
      <c r="V412" s="20">
        <f>T412</f>
        <v>197375</v>
      </c>
      <c r="W412" s="20">
        <f>AA412*1000000/8</f>
        <v>1540429.8</v>
      </c>
      <c r="X412" s="196">
        <f>W412-V412</f>
        <v>1343054.8</v>
      </c>
      <c r="Y412" s="343"/>
      <c r="Z412" s="342"/>
      <c r="AA412" s="78">
        <f>AN412</f>
        <v>12.323438400000001</v>
      </c>
      <c r="AC412" s="119">
        <f>AE412</f>
        <v>1.579</v>
      </c>
      <c r="AD412" s="3">
        <f t="shared" ref="AD412:AD441" si="121">X412*8/1000000</f>
        <v>10.7444384</v>
      </c>
      <c r="AE412" s="3">
        <f t="shared" ref="AE412:AE442" si="122">V412*8/1000000</f>
        <v>1.579</v>
      </c>
      <c r="AF412" s="341" t="str">
        <f>AH412</f>
        <v>TRK_222_2</v>
      </c>
      <c r="AG412" s="291" t="s">
        <v>5659</v>
      </c>
      <c r="AH412" t="s">
        <v>5658</v>
      </c>
      <c r="AI412" t="s">
        <v>5657</v>
      </c>
      <c r="AJ412">
        <v>0.79937899999999995</v>
      </c>
      <c r="AK412">
        <v>2.2664550000000001</v>
      </c>
      <c r="AL412">
        <v>1.467076</v>
      </c>
      <c r="AM412">
        <v>12.910265000000001</v>
      </c>
      <c r="AN412" s="340">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5583</v>
      </c>
      <c r="P413" s="32" t="s">
        <v>5656</v>
      </c>
      <c r="Q413" s="353">
        <f>R412-1</f>
        <v>616844815</v>
      </c>
      <c r="R413" s="21">
        <f>W413/$V$31+Q413</f>
        <v>617039347.06783485</v>
      </c>
      <c r="S413" s="21">
        <f>R413-Q413</f>
        <v>194532.06783485413</v>
      </c>
      <c r="T413" s="21">
        <f>S413*$V$31</f>
        <v>1343054.8000003838</v>
      </c>
      <c r="U413" s="3">
        <v>0</v>
      </c>
      <c r="V413" s="20">
        <f>T413</f>
        <v>1343054.8000003838</v>
      </c>
      <c r="W413" s="184">
        <f>X412</f>
        <v>1343054.8</v>
      </c>
      <c r="X413" s="344">
        <f>W413-V413</f>
        <v>-3.8370490074157715E-7</v>
      </c>
      <c r="Y413" s="343"/>
      <c r="Z413" s="342"/>
      <c r="AA413" s="78"/>
      <c r="AC413" s="119">
        <f>AE413+AC412</f>
        <v>12.32343840000307</v>
      </c>
      <c r="AD413" s="3">
        <f t="shared" si="121"/>
        <v>-3.0696392059326171E-12</v>
      </c>
      <c r="AE413" s="3">
        <f t="shared" si="122"/>
        <v>10.744438400003069</v>
      </c>
      <c r="AF413" s="341"/>
      <c r="AG413" s="291"/>
      <c r="AN413" s="340"/>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5583</v>
      </c>
      <c r="O414" s="338"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44">
        <f>W414-V414</f>
        <v>-2.6816269382834435E-7</v>
      </c>
      <c r="Y414" s="343"/>
      <c r="Z414" s="342"/>
      <c r="AA414" s="78">
        <f t="shared" ref="AA414:AA441" si="123">AN414</f>
        <v>0.77729400000000004</v>
      </c>
      <c r="AC414" s="119">
        <f>AE414+AC413</f>
        <v>13.100732400005215</v>
      </c>
      <c r="AD414" s="3">
        <f t="shared" si="121"/>
        <v>-2.1453015506267548E-12</v>
      </c>
      <c r="AE414" s="3">
        <f t="shared" si="122"/>
        <v>0.77729400000214532</v>
      </c>
      <c r="AF414" s="341" t="str">
        <f t="shared" ref="AF414:AF441" si="124">AH414</f>
        <v>TRK_225_1</v>
      </c>
      <c r="AG414" s="291" t="s">
        <v>5655</v>
      </c>
      <c r="AH414" t="s">
        <v>5654</v>
      </c>
      <c r="AI414" t="s">
        <v>5653</v>
      </c>
      <c r="AJ414">
        <v>1.2552970000000001</v>
      </c>
      <c r="AK414">
        <v>1.3478319999999999</v>
      </c>
      <c r="AL414">
        <v>9.2535000000000006E-2</v>
      </c>
      <c r="AM414">
        <v>0.81430400000000003</v>
      </c>
      <c r="AN414" s="340">
        <f t="shared" ref="AN414:AN441" si="125">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5583</v>
      </c>
      <c r="O415" s="338" t="str">
        <f>AG415</f>
        <v>225/11:18</v>
      </c>
      <c r="P415" s="32" t="str">
        <f>MID(AH415,5,5)</f>
        <v>225_2</v>
      </c>
      <c r="Q415" s="21">
        <f>R414-1</f>
        <v>617053418.26584733</v>
      </c>
      <c r="R415" s="21">
        <f>W415/$V$31+Q415</f>
        <v>617207598.67824745</v>
      </c>
      <c r="S415" s="21">
        <f>R415-Q415</f>
        <v>154180.41240012646</v>
      </c>
      <c r="T415" s="21">
        <f>S415*$V$31</f>
        <v>1064465.8499997063</v>
      </c>
      <c r="U415" s="372">
        <v>0</v>
      </c>
      <c r="V415" s="371">
        <f>T415</f>
        <v>1064465.8499997063</v>
      </c>
      <c r="W415" s="20">
        <f>AA415*1000000/8</f>
        <v>1064465.8499999999</v>
      </c>
      <c r="X415" s="344">
        <f>W415-V415</f>
        <v>2.935994416475296E-7</v>
      </c>
      <c r="Y415" s="343"/>
      <c r="Z415" s="342" t="s">
        <v>5652</v>
      </c>
      <c r="AA415" s="78">
        <f t="shared" si="123"/>
        <v>8.5157267999999995</v>
      </c>
      <c r="AB415">
        <f>136.337</f>
        <v>136.33699999999999</v>
      </c>
      <c r="AC415" s="119">
        <f>AE415+AC414</f>
        <v>21.616459200002865</v>
      </c>
      <c r="AD415" s="3">
        <f t="shared" si="121"/>
        <v>2.3487955331802368E-12</v>
      </c>
      <c r="AE415" s="3">
        <f t="shared" si="122"/>
        <v>8.5157267999976494</v>
      </c>
      <c r="AF415" s="341" t="str">
        <f t="shared" si="124"/>
        <v>TRK_225_2</v>
      </c>
      <c r="AG415" s="291" t="s">
        <v>5651</v>
      </c>
      <c r="AH415" t="s">
        <v>5650</v>
      </c>
      <c r="AI415" t="s">
        <v>5649</v>
      </c>
      <c r="AJ415">
        <v>0.195578</v>
      </c>
      <c r="AK415">
        <v>1.209355</v>
      </c>
      <c r="AL415">
        <v>1.0137769999999999</v>
      </c>
      <c r="AM415">
        <v>8.9212340000000001</v>
      </c>
      <c r="AN415" s="340">
        <f t="shared" si="125"/>
        <v>8.5157267999999995</v>
      </c>
    </row>
    <row r="416" spans="3:40" ht="13.5" customHeight="1">
      <c r="C416" s="3">
        <v>104</v>
      </c>
      <c r="D416" s="3">
        <v>105</v>
      </c>
      <c r="E416" t="s">
        <v>51</v>
      </c>
      <c r="F416" t="s">
        <v>49</v>
      </c>
      <c r="G416" t="s">
        <v>50</v>
      </c>
      <c r="H416" t="s">
        <v>53</v>
      </c>
      <c r="I416" t="s">
        <v>54</v>
      </c>
      <c r="L416" s="366"/>
      <c r="M416" s="366"/>
      <c r="N416" t="s">
        <v>5642</v>
      </c>
      <c r="O416" s="338"/>
      <c r="P416" s="32"/>
      <c r="Q416" s="191"/>
      <c r="R416" s="191"/>
      <c r="S416" s="191"/>
      <c r="T416" s="191"/>
      <c r="U416" s="349"/>
      <c r="V416" s="348"/>
      <c r="W416" s="348"/>
      <c r="X416" s="370"/>
      <c r="Y416" s="343">
        <f>W416*8/1000000</f>
        <v>0</v>
      </c>
      <c r="Z416" s="369">
        <f>AA416</f>
        <v>17.080744799999998</v>
      </c>
      <c r="AA416" s="78">
        <f t="shared" si="123"/>
        <v>17.080744799999998</v>
      </c>
      <c r="AB416">
        <f>AB415/194</f>
        <v>0.70276804123711334</v>
      </c>
      <c r="AC416" s="362">
        <f>AA416</f>
        <v>17.080744799999998</v>
      </c>
      <c r="AD416" s="3">
        <f t="shared" si="121"/>
        <v>0</v>
      </c>
      <c r="AE416" s="3">
        <f t="shared" si="122"/>
        <v>0</v>
      </c>
      <c r="AF416" s="358" t="str">
        <f t="shared" si="124"/>
        <v>TRK_225_3</v>
      </c>
      <c r="AG416" s="291" t="s">
        <v>5648</v>
      </c>
      <c r="AH416" t="s">
        <v>5647</v>
      </c>
      <c r="AI416" t="s">
        <v>5646</v>
      </c>
      <c r="AJ416">
        <v>0.33697700000000003</v>
      </c>
      <c r="AK416">
        <v>2.3703989999999999</v>
      </c>
      <c r="AL416">
        <v>2.0334219999999998</v>
      </c>
      <c r="AM416">
        <v>17.894114999999999</v>
      </c>
      <c r="AN416" s="340">
        <f t="shared" si="125"/>
        <v>17.080744799999998</v>
      </c>
    </row>
    <row r="417" spans="3:41" ht="13.5" customHeight="1">
      <c r="C417" s="3">
        <v>104</v>
      </c>
      <c r="D417" s="3">
        <v>105</v>
      </c>
      <c r="E417" t="s">
        <v>51</v>
      </c>
      <c r="F417" t="s">
        <v>49</v>
      </c>
      <c r="G417" t="s">
        <v>50</v>
      </c>
      <c r="H417" t="s">
        <v>53</v>
      </c>
      <c r="I417" t="s">
        <v>54</v>
      </c>
      <c r="L417" s="366"/>
      <c r="M417" s="366"/>
      <c r="N417" t="s">
        <v>5642</v>
      </c>
      <c r="O417" s="338"/>
      <c r="P417" s="32"/>
      <c r="Q417" s="191"/>
      <c r="R417" s="191"/>
      <c r="S417" s="191"/>
      <c r="T417" s="191"/>
      <c r="U417" s="349"/>
      <c r="V417" s="348"/>
      <c r="W417" s="348"/>
      <c r="X417" s="368"/>
      <c r="Y417" s="343"/>
      <c r="Z417" s="367">
        <f>Z416+AA417</f>
        <v>27.389569199999997</v>
      </c>
      <c r="AA417" s="78">
        <f t="shared" si="123"/>
        <v>10.308824400000001</v>
      </c>
      <c r="AC417" s="362">
        <f>AC416+AA417</f>
        <v>27.389569199999997</v>
      </c>
      <c r="AD417" s="3">
        <f t="shared" si="121"/>
        <v>0</v>
      </c>
      <c r="AE417" s="3">
        <f t="shared" si="122"/>
        <v>0</v>
      </c>
      <c r="AF417" s="358" t="str">
        <f t="shared" si="124"/>
        <v>TRK_226_1</v>
      </c>
      <c r="AG417" s="291" t="s">
        <v>5645</v>
      </c>
      <c r="AH417" t="s">
        <v>5644</v>
      </c>
      <c r="AI417" t="s">
        <v>5643</v>
      </c>
      <c r="AJ417">
        <v>6.2488000000000002E-2</v>
      </c>
      <c r="AK417">
        <v>1.2897289999999999</v>
      </c>
      <c r="AL417">
        <v>1.227241</v>
      </c>
      <c r="AM417">
        <v>10.799721999999999</v>
      </c>
      <c r="AN417" s="340">
        <f t="shared" si="125"/>
        <v>10.308824400000001</v>
      </c>
    </row>
    <row r="418" spans="3:41" ht="13.5" customHeight="1">
      <c r="C418" s="3">
        <v>104</v>
      </c>
      <c r="D418" s="3">
        <v>105</v>
      </c>
      <c r="E418" t="s">
        <v>51</v>
      </c>
      <c r="F418" t="s">
        <v>49</v>
      </c>
      <c r="G418" t="s">
        <v>50</v>
      </c>
      <c r="H418" t="s">
        <v>53</v>
      </c>
      <c r="I418" t="s">
        <v>54</v>
      </c>
      <c r="L418" s="366"/>
      <c r="M418" s="366"/>
      <c r="N418" t="s">
        <v>5642</v>
      </c>
      <c r="O418" s="338"/>
      <c r="P418" s="32"/>
      <c r="Q418" s="191">
        <v>645951790</v>
      </c>
      <c r="R418" s="191">
        <v>645952407</v>
      </c>
      <c r="S418" s="191"/>
      <c r="T418" s="191">
        <v>4081250</v>
      </c>
      <c r="U418" s="349"/>
      <c r="V418" s="365">
        <f>T418</f>
        <v>4081250</v>
      </c>
      <c r="W418" s="365">
        <f>Z418*1000000/8</f>
        <v>4081486.4999999995</v>
      </c>
      <c r="X418" s="364">
        <f t="shared" ref="X418:X425" si="126">W418-V418</f>
        <v>236.49999999953434</v>
      </c>
      <c r="Y418" s="343">
        <f>W418*8/1000000</f>
        <v>32.651891999999997</v>
      </c>
      <c r="Z418" s="363">
        <f>Z417+AA418</f>
        <v>32.651891999999997</v>
      </c>
      <c r="AA418" s="78">
        <f t="shared" si="123"/>
        <v>5.2623228000000006</v>
      </c>
      <c r="AB418">
        <f>(Z418/194)*235</f>
        <v>39.55254958762886</v>
      </c>
      <c r="AC418" s="362">
        <f>AC417+AA418</f>
        <v>32.651891999999997</v>
      </c>
      <c r="AD418" s="3">
        <f t="shared" si="121"/>
        <v>1.8919999999962747E-3</v>
      </c>
      <c r="AE418" s="3">
        <f t="shared" si="122"/>
        <v>32.65</v>
      </c>
      <c r="AF418" s="358" t="str">
        <f t="shared" si="124"/>
        <v>TRK_227_1_</v>
      </c>
      <c r="AG418" s="291" t="s">
        <v>5641</v>
      </c>
      <c r="AH418" t="s">
        <v>5640</v>
      </c>
      <c r="AI418" t="s">
        <v>5639</v>
      </c>
      <c r="AJ418">
        <v>0.41222799999999998</v>
      </c>
      <c r="AK418">
        <v>1.0386949999999999</v>
      </c>
      <c r="AL418">
        <v>0.626467</v>
      </c>
      <c r="AM418">
        <v>5.5129089999999996</v>
      </c>
      <c r="AN418" s="340">
        <f t="shared" si="125"/>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5583</v>
      </c>
      <c r="O419" s="338"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44">
        <f t="shared" si="126"/>
        <v>3.3667311072349548E-7</v>
      </c>
      <c r="Y419" s="343"/>
      <c r="Z419" s="342"/>
      <c r="AA419" s="78">
        <f t="shared" si="123"/>
        <v>12.573674400000002</v>
      </c>
      <c r="AB419">
        <f>Z418*0.687</f>
        <v>22.431849803999999</v>
      </c>
      <c r="AC419" s="119">
        <f>AE419+AC418</f>
        <v>45.225566399997305</v>
      </c>
      <c r="AD419" s="3">
        <f t="shared" si="121"/>
        <v>2.6933848857879639E-12</v>
      </c>
      <c r="AE419" s="3">
        <f t="shared" si="122"/>
        <v>12.573674399997309</v>
      </c>
      <c r="AF419" s="341" t="str">
        <f t="shared" si="124"/>
        <v>TRK_228_1</v>
      </c>
      <c r="AG419" s="291" t="s">
        <v>5638</v>
      </c>
      <c r="AH419" t="s">
        <v>5637</v>
      </c>
      <c r="AI419" t="s">
        <v>5636</v>
      </c>
      <c r="AJ419">
        <v>0.49110900000000002</v>
      </c>
      <c r="AK419">
        <v>1.987975</v>
      </c>
      <c r="AL419">
        <v>1.496866</v>
      </c>
      <c r="AM419">
        <v>13.172416999999999</v>
      </c>
      <c r="AN419" s="340">
        <f t="shared" si="125"/>
        <v>12.573674400000002</v>
      </c>
    </row>
    <row r="420" spans="3:41" ht="13.5" customHeight="1">
      <c r="J420" t="s">
        <v>228</v>
      </c>
      <c r="K420" t="s">
        <v>825</v>
      </c>
      <c r="L420" s="95" t="str" cm="1">
        <f t="array" aca="1" ref="L420" ca="1">MID(met2utc(Q420),3,12)</f>
        <v>26-055/17:25</v>
      </c>
      <c r="M420" s="95" t="str" cm="1">
        <f t="array" aca="1" ref="M420" ca="1">MID(met2utc(R420),3,12)</f>
        <v>26-081/05:08</v>
      </c>
      <c r="N420" t="s">
        <v>5623</v>
      </c>
      <c r="O420" s="338" t="str">
        <f t="shared" si="127"/>
        <v>229/10:58</v>
      </c>
      <c r="P420" s="32" t="str">
        <f t="shared" si="128"/>
        <v>229_1</v>
      </c>
      <c r="Q420" s="59">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44">
        <f t="shared" si="126"/>
        <v>-1.862645149230957E-9</v>
      </c>
      <c r="Y420" s="343"/>
      <c r="Z420" s="342"/>
      <c r="AA420" s="78">
        <f t="shared" si="123"/>
        <v>8.9086788000000006</v>
      </c>
      <c r="AC420" s="130">
        <f>AE420</f>
        <v>8.9086788000000148</v>
      </c>
      <c r="AD420" s="3">
        <f t="shared" si="121"/>
        <v>-1.4901161193847656E-14</v>
      </c>
      <c r="AE420" s="3">
        <f t="shared" si="122"/>
        <v>8.9086788000000148</v>
      </c>
      <c r="AF420" s="341" t="str">
        <f t="shared" si="124"/>
        <v>TRK_229_1</v>
      </c>
      <c r="AG420" s="291" t="s">
        <v>5635</v>
      </c>
      <c r="AH420" t="s">
        <v>5634</v>
      </c>
      <c r="AI420" t="s">
        <v>5633</v>
      </c>
      <c r="AJ420">
        <v>6.9262000000000004E-2</v>
      </c>
      <c r="AK420">
        <v>1.1298189999999999</v>
      </c>
      <c r="AL420">
        <v>1.060557</v>
      </c>
      <c r="AM420">
        <v>9.3329039999999992</v>
      </c>
      <c r="AN420" s="340">
        <f t="shared" si="125"/>
        <v>8.9086788000000006</v>
      </c>
    </row>
    <row r="421" spans="3:41" ht="13.5" customHeight="1">
      <c r="J421" t="s">
        <v>228</v>
      </c>
      <c r="K421" t="s">
        <v>825</v>
      </c>
      <c r="L421" s="95" t="str" cm="1">
        <f t="array" aca="1" ref="L421" ca="1">MID(met2utc(Q421),3,12)</f>
        <v>26-081/05:08</v>
      </c>
      <c r="M421" s="95" t="str" cm="1">
        <f t="array" aca="1" ref="M421" ca="1">MID(met2utc(R421),3,12)</f>
        <v>26-106/15:00</v>
      </c>
      <c r="N421" t="s">
        <v>5623</v>
      </c>
      <c r="O421" s="338" t="str">
        <f t="shared" si="127"/>
        <v>229/21:48</v>
      </c>
      <c r="P421" s="32" t="str">
        <f t="shared" si="128"/>
        <v>229_2</v>
      </c>
      <c r="Q421" s="59">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44">
        <f t="shared" si="126"/>
        <v>2.4214386940002441E-8</v>
      </c>
      <c r="Y421" s="343"/>
      <c r="Z421" s="342"/>
      <c r="AA421" s="78">
        <f t="shared" si="123"/>
        <v>8.8816224000000012</v>
      </c>
      <c r="AC421" s="130">
        <f>AE421+AC420</f>
        <v>17.790301199999821</v>
      </c>
      <c r="AD421" s="3">
        <f t="shared" si="121"/>
        <v>1.9371509552001952E-13</v>
      </c>
      <c r="AE421" s="3">
        <f t="shared" si="122"/>
        <v>8.8816223999998059</v>
      </c>
      <c r="AF421" s="341" t="str">
        <f t="shared" si="124"/>
        <v>TRK_229_2</v>
      </c>
      <c r="AG421" s="291" t="s">
        <v>5632</v>
      </c>
      <c r="AH421" t="s">
        <v>5631</v>
      </c>
      <c r="AI421" t="s">
        <v>5630</v>
      </c>
      <c r="AJ421">
        <v>6.1191000000000002E-2</v>
      </c>
      <c r="AK421">
        <v>1.118527</v>
      </c>
      <c r="AL421">
        <v>1.0573360000000001</v>
      </c>
      <c r="AM421">
        <v>9.3045550000000006</v>
      </c>
      <c r="AN421" s="340">
        <f t="shared" si="125"/>
        <v>8.8816224000000012</v>
      </c>
    </row>
    <row r="422" spans="3:41" ht="13.5" customHeight="1">
      <c r="J422" t="s">
        <v>228</v>
      </c>
      <c r="K422" t="s">
        <v>825</v>
      </c>
      <c r="L422" s="95" t="str" cm="1">
        <f t="array" aca="1" ref="L422" ca="1">MID(met2utc(Q422),3,12)</f>
        <v>26-106/15:00</v>
      </c>
      <c r="M422" s="95" t="str" cm="1">
        <f t="array" aca="1" ref="M422" ca="1">MID(met2utc(R422),3,12)</f>
        <v>26-130/04:11</v>
      </c>
      <c r="N422" t="s">
        <v>5623</v>
      </c>
      <c r="O422" s="338" t="str">
        <f t="shared" si="127"/>
        <v>230/10:58</v>
      </c>
      <c r="P422" s="32" t="str">
        <f t="shared" si="128"/>
        <v>230_1</v>
      </c>
      <c r="Q422" s="59">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44">
        <f t="shared" si="126"/>
        <v>-1.2223608791828156E-8</v>
      </c>
      <c r="Y422" s="343"/>
      <c r="Z422" s="342"/>
      <c r="AA422" s="78">
        <f t="shared" si="123"/>
        <v>8.2308660000000007</v>
      </c>
      <c r="AC422" s="130">
        <f>AE422+AC421</f>
        <v>26.021167199999919</v>
      </c>
      <c r="AD422" s="3">
        <f t="shared" si="121"/>
        <v>-9.7788870334625248E-14</v>
      </c>
      <c r="AE422" s="3">
        <f t="shared" si="122"/>
        <v>8.2308660000000984</v>
      </c>
      <c r="AF422" s="341" t="str">
        <f t="shared" si="124"/>
        <v>TRK_230_1</v>
      </c>
      <c r="AG422" s="291" t="s">
        <v>5629</v>
      </c>
      <c r="AH422" t="s">
        <v>5628</v>
      </c>
      <c r="AI422" t="s">
        <v>5627</v>
      </c>
      <c r="AJ422">
        <v>0.22567200000000001</v>
      </c>
      <c r="AK422">
        <v>1.2055370000000001</v>
      </c>
      <c r="AL422">
        <v>0.97986499999999999</v>
      </c>
      <c r="AM422">
        <v>8.6228119999999997</v>
      </c>
      <c r="AN422" s="340">
        <f t="shared" si="125"/>
        <v>8.2308660000000007</v>
      </c>
    </row>
    <row r="423" spans="3:41" ht="13.5" customHeight="1">
      <c r="J423" t="s">
        <v>228</v>
      </c>
      <c r="K423" t="s">
        <v>825</v>
      </c>
      <c r="L423" s="95" t="str" cm="1">
        <f t="array" aca="1" ref="L423" ca="1">MID(met2utc(Q423),3,12)</f>
        <v>26-130/04:11</v>
      </c>
      <c r="M423" s="95" t="str" cm="1">
        <f t="array" aca="1" ref="M423" ca="1">MID(met2utc(R423),3,12)</f>
        <v>26-152/11:31</v>
      </c>
      <c r="N423" t="s">
        <v>5623</v>
      </c>
      <c r="O423" s="338" t="str">
        <f t="shared" si="127"/>
        <v>231/10:07</v>
      </c>
      <c r="P423" s="32" t="str">
        <f t="shared" si="128"/>
        <v>231_1</v>
      </c>
      <c r="Q423" s="59">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44">
        <f t="shared" si="126"/>
        <v>-1.57160684466362E-8</v>
      </c>
      <c r="Y423" s="343"/>
      <c r="Z423" s="342"/>
      <c r="AA423" s="78">
        <f t="shared" si="123"/>
        <v>7.7961408000000008</v>
      </c>
      <c r="AC423" s="130">
        <f>AE423+AC422</f>
        <v>33.817308000000047</v>
      </c>
      <c r="AD423" s="3">
        <f t="shared" si="121"/>
        <v>-1.257285475730896E-13</v>
      </c>
      <c r="AE423" s="3">
        <f t="shared" si="122"/>
        <v>7.7961408000001269</v>
      </c>
      <c r="AF423" s="341" t="str">
        <f t="shared" si="124"/>
        <v>TRK_231_1_</v>
      </c>
      <c r="AG423" s="291" t="s">
        <v>5626</v>
      </c>
      <c r="AH423" t="s">
        <v>5625</v>
      </c>
      <c r="AI423" t="s">
        <v>5624</v>
      </c>
      <c r="AJ423">
        <v>0.44786999999999999</v>
      </c>
      <c r="AK423">
        <v>1.375982</v>
      </c>
      <c r="AL423">
        <v>0.92811200000000005</v>
      </c>
      <c r="AM423">
        <v>8.1673880000000008</v>
      </c>
      <c r="AN423" s="340">
        <f t="shared" si="125"/>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5623</v>
      </c>
      <c r="O424" s="338" t="str">
        <f t="shared" si="127"/>
        <v>232/02:47</v>
      </c>
      <c r="P424" s="32" t="str">
        <f t="shared" si="128"/>
        <v>232_1</v>
      </c>
      <c r="Q424" s="59">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44">
        <f t="shared" si="126"/>
        <v>-6.7520886659622192E-9</v>
      </c>
      <c r="Y424" s="343"/>
      <c r="Z424" s="342"/>
      <c r="AA424" s="78">
        <f t="shared" si="123"/>
        <v>6.894342</v>
      </c>
      <c r="AB424" s="100"/>
      <c r="AC424" s="130">
        <f>AE424+AC423</f>
        <v>40.711650000000098</v>
      </c>
      <c r="AD424" s="3">
        <f t="shared" si="121"/>
        <v>-5.4016709327697754E-14</v>
      </c>
      <c r="AE424" s="3">
        <f t="shared" si="122"/>
        <v>6.8943420000000541</v>
      </c>
      <c r="AF424" s="341" t="str">
        <f t="shared" si="124"/>
        <v>TRK_232_1</v>
      </c>
      <c r="AG424" s="291" t="s">
        <v>5622</v>
      </c>
      <c r="AH424" t="s">
        <v>5621</v>
      </c>
      <c r="AI424" t="s">
        <v>5620</v>
      </c>
      <c r="AJ424">
        <v>0.24752199999999999</v>
      </c>
      <c r="AK424">
        <v>1.0682769999999999</v>
      </c>
      <c r="AL424">
        <v>0.82075500000000001</v>
      </c>
      <c r="AM424">
        <v>7.2226429999999997</v>
      </c>
      <c r="AN424" s="281">
        <f t="shared" si="125"/>
        <v>6.894342</v>
      </c>
    </row>
    <row r="425" spans="3:41" ht="13.5" customHeight="1">
      <c r="J425" t="s">
        <v>228</v>
      </c>
      <c r="K425" t="s">
        <v>825</v>
      </c>
      <c r="L425" s="95" t="str" cm="1">
        <f t="array" aca="1" ref="L425" ca="1">MID(met2utc(Q425),3,12)</f>
        <v>26-172/04:55</v>
      </c>
      <c r="M425" s="95" t="str" cm="1">
        <f t="array" aca="1" ref="M425" ca="1">MID(met2utc(R425),3,12)</f>
        <v>26-188/18:08</v>
      </c>
      <c r="N425" t="s">
        <v>5462</v>
      </c>
      <c r="O425" s="338" t="str">
        <f t="shared" si="127"/>
        <v>232/11:17</v>
      </c>
      <c r="P425" s="32" t="str">
        <f t="shared" si="128"/>
        <v>232_2</v>
      </c>
      <c r="Q425" s="59">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44">
        <f t="shared" si="126"/>
        <v>-2.3981556296348572E-8</v>
      </c>
      <c r="Y425" s="343"/>
      <c r="Z425" s="342"/>
      <c r="AA425" s="78">
        <f t="shared" si="123"/>
        <v>5.7846096000000005</v>
      </c>
      <c r="AC425" s="130">
        <f>AE425+AC424</f>
        <v>46.496259600000293</v>
      </c>
      <c r="AD425" s="3">
        <f t="shared" si="121"/>
        <v>-1.9185245037078857E-13</v>
      </c>
      <c r="AE425" s="3">
        <f t="shared" si="122"/>
        <v>5.7846096000001923</v>
      </c>
      <c r="AF425" s="341" t="str">
        <f t="shared" si="124"/>
        <v>TRK_232_2</v>
      </c>
      <c r="AG425" s="291" t="s">
        <v>5619</v>
      </c>
      <c r="AH425" t="s">
        <v>5618</v>
      </c>
      <c r="AI425" t="s">
        <v>5617</v>
      </c>
      <c r="AJ425">
        <v>0.19355900000000001</v>
      </c>
      <c r="AK425">
        <v>0.88220299999999996</v>
      </c>
      <c r="AL425">
        <v>0.68864400000000003</v>
      </c>
      <c r="AM425">
        <v>6.0600639999999997</v>
      </c>
      <c r="AN425" s="281">
        <f t="shared" si="125"/>
        <v>5.7846096000000005</v>
      </c>
    </row>
    <row r="426" spans="3:41" ht="13.5" customHeight="1">
      <c r="L426" s="298"/>
      <c r="M426" s="298"/>
      <c r="O426" s="338" t="str">
        <f t="shared" si="127"/>
        <v>232/22:57</v>
      </c>
      <c r="P426" s="32" t="str">
        <f t="shared" si="128"/>
        <v>232_3</v>
      </c>
      <c r="Q426" s="349"/>
      <c r="R426" s="349"/>
      <c r="S426" s="298"/>
      <c r="T426" s="349"/>
      <c r="U426" s="298"/>
      <c r="V426" s="298"/>
      <c r="W426" s="298"/>
      <c r="X426" s="298"/>
      <c r="Y426" s="343"/>
      <c r="Z426" s="361">
        <f>AA426</f>
        <v>19.9636332</v>
      </c>
      <c r="AA426" s="78">
        <f t="shared" si="123"/>
        <v>19.9636332</v>
      </c>
      <c r="AB426">
        <f>(Z428/194)*235</f>
        <v>67.556049371134023</v>
      </c>
      <c r="AC426" s="359">
        <f>AC418+Z426</f>
        <v>52.615525199999993</v>
      </c>
      <c r="AD426" s="3">
        <f t="shared" si="121"/>
        <v>0</v>
      </c>
      <c r="AE426" s="3">
        <f t="shared" si="122"/>
        <v>0</v>
      </c>
      <c r="AF426" s="358" t="str">
        <f t="shared" si="124"/>
        <v>TRK_232_3</v>
      </c>
      <c r="AG426" s="291" t="s">
        <v>5616</v>
      </c>
      <c r="AH426" t="s">
        <v>5615</v>
      </c>
      <c r="AI426" t="s">
        <v>5614</v>
      </c>
      <c r="AJ426">
        <v>6.3396999999999995E-2</v>
      </c>
      <c r="AK426">
        <v>2.4400200000000001</v>
      </c>
      <c r="AL426">
        <v>2.3766229999999999</v>
      </c>
      <c r="AM426">
        <v>20.914285</v>
      </c>
      <c r="AN426" s="281">
        <f t="shared" si="125"/>
        <v>19.9636332</v>
      </c>
    </row>
    <row r="427" spans="3:41" ht="13.5" customHeight="1">
      <c r="L427" s="298"/>
      <c r="M427" s="298"/>
      <c r="O427" s="338" t="str">
        <f t="shared" si="127"/>
        <v>233/12:02</v>
      </c>
      <c r="P427" s="32" t="str">
        <f t="shared" si="128"/>
        <v>233_1</v>
      </c>
      <c r="Q427" s="298"/>
      <c r="R427" s="298"/>
      <c r="S427" s="298"/>
      <c r="T427" s="298"/>
      <c r="U427" s="298"/>
      <c r="V427" s="298"/>
      <c r="W427" s="298"/>
      <c r="X427" s="298"/>
      <c r="Y427" s="343"/>
      <c r="Z427" s="361">
        <f>AA427+AA426</f>
        <v>31.822946399999999</v>
      </c>
      <c r="AA427" s="78">
        <f t="shared" si="123"/>
        <v>11.859313200000001</v>
      </c>
      <c r="AB427">
        <f>Z428*0.687</f>
        <v>38.313766587600007</v>
      </c>
      <c r="AC427" s="359">
        <f>AC426+AA427</f>
        <v>64.474838399999996</v>
      </c>
      <c r="AD427" s="3">
        <f t="shared" si="121"/>
        <v>0</v>
      </c>
      <c r="AE427" s="3">
        <f t="shared" si="122"/>
        <v>0</v>
      </c>
      <c r="AF427" s="358" t="str">
        <f t="shared" si="124"/>
        <v>TRK_233_1</v>
      </c>
      <c r="AG427" s="291" t="s">
        <v>5613</v>
      </c>
      <c r="AH427" t="s">
        <v>5612</v>
      </c>
      <c r="AI427" t="s">
        <v>5611</v>
      </c>
      <c r="AJ427">
        <v>0.21144499999999999</v>
      </c>
      <c r="AK427">
        <v>1.6232679999999999</v>
      </c>
      <c r="AL427">
        <v>1.4118230000000001</v>
      </c>
      <c r="AM427">
        <v>12.424046000000001</v>
      </c>
      <c r="AN427" s="281">
        <f t="shared" si="125"/>
        <v>11.859313200000001</v>
      </c>
    </row>
    <row r="428" spans="3:41" ht="13.5" customHeight="1">
      <c r="L428" s="298"/>
      <c r="M428" s="298"/>
      <c r="O428" s="338" t="str">
        <f t="shared" si="127"/>
        <v>234/02:32</v>
      </c>
      <c r="P428" s="32" t="str">
        <f t="shared" si="128"/>
        <v>234_1</v>
      </c>
      <c r="Q428" s="349">
        <v>645952406</v>
      </c>
      <c r="R428" s="349">
        <v>645953459</v>
      </c>
      <c r="S428" s="298"/>
      <c r="T428" s="349">
        <v>6971250</v>
      </c>
      <c r="U428" s="298"/>
      <c r="V428" s="298">
        <f>T428</f>
        <v>6971250</v>
      </c>
      <c r="W428" s="298">
        <f>Z428*1000000/8</f>
        <v>6971209.3500000006</v>
      </c>
      <c r="X428" s="298">
        <f t="shared" ref="X428:X441" si="134">W428-V428</f>
        <v>-40.649999999441206</v>
      </c>
      <c r="Y428" s="343"/>
      <c r="Z428" s="347">
        <f>AA428+Z427</f>
        <v>55.769674800000004</v>
      </c>
      <c r="AA428" s="78">
        <f t="shared" si="123"/>
        <v>23.946728400000001</v>
      </c>
      <c r="AC428" s="359">
        <f>AC427+AA428</f>
        <v>88.421566799999994</v>
      </c>
      <c r="AD428" s="3">
        <f t="shared" si="121"/>
        <v>-3.2519999999552966E-4</v>
      </c>
      <c r="AE428" s="3">
        <f t="shared" si="122"/>
        <v>55.77</v>
      </c>
      <c r="AF428" s="358" t="str">
        <f t="shared" si="124"/>
        <v>TRK_234_1</v>
      </c>
      <c r="AG428" s="291" t="s">
        <v>5610</v>
      </c>
      <c r="AH428" t="s">
        <v>5609</v>
      </c>
      <c r="AI428" t="s">
        <v>5608</v>
      </c>
      <c r="AJ428">
        <v>7.4108999999999994E-2</v>
      </c>
      <c r="AK428">
        <v>2.9249100000000001</v>
      </c>
      <c r="AL428">
        <v>2.8508010000000001</v>
      </c>
      <c r="AM428">
        <v>25.087050000000001</v>
      </c>
      <c r="AN428" s="281">
        <f t="shared" si="125"/>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5583</v>
      </c>
      <c r="O429" s="338"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44">
        <f t="shared" si="134"/>
        <v>2.4167820811271667E-7</v>
      </c>
      <c r="Y429" s="343"/>
      <c r="Z429" s="342"/>
      <c r="AA429" s="78">
        <f t="shared" si="123"/>
        <v>4.1558916000000004</v>
      </c>
      <c r="AC429" s="119">
        <f>AA429+AC419</f>
        <v>49.381457999997309</v>
      </c>
      <c r="AD429" s="3">
        <f t="shared" si="121"/>
        <v>1.9334256649017335E-12</v>
      </c>
      <c r="AE429" s="3">
        <f t="shared" si="122"/>
        <v>4.1558915999980668</v>
      </c>
      <c r="AF429" s="341" t="str">
        <f t="shared" si="124"/>
        <v>TRK_235_1_</v>
      </c>
      <c r="AG429" s="291" t="s">
        <v>5607</v>
      </c>
      <c r="AH429" t="s">
        <v>5606</v>
      </c>
      <c r="AI429" t="s">
        <v>5605</v>
      </c>
      <c r="AJ429">
        <v>0.43607800000000002</v>
      </c>
      <c r="AK429">
        <v>0.93082699999999996</v>
      </c>
      <c r="AL429">
        <v>0.49474899999999999</v>
      </c>
      <c r="AM429">
        <v>4.3537949999999999</v>
      </c>
      <c r="AN429" s="281">
        <f t="shared" si="125"/>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5583</v>
      </c>
      <c r="O430" s="338" t="str">
        <f t="shared" si="127"/>
        <v>235/12:12</v>
      </c>
      <c r="P430" s="32" t="str">
        <f t="shared" si="128"/>
        <v>235_2</v>
      </c>
      <c r="Q430" s="59">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44">
        <f t="shared" si="134"/>
        <v>2.8428621590137482E-7</v>
      </c>
      <c r="Y430" s="343"/>
      <c r="Z430" s="342"/>
      <c r="AA430" s="78">
        <f t="shared" si="123"/>
        <v>5.2523603999999997</v>
      </c>
      <c r="AC430" s="119">
        <f>AC429+AA430</f>
        <v>54.63381839999731</v>
      </c>
      <c r="AD430" s="3">
        <f t="shared" si="121"/>
        <v>2.2742897272109987E-12</v>
      </c>
      <c r="AE430" s="3">
        <f t="shared" si="122"/>
        <v>5.2523603999977251</v>
      </c>
      <c r="AF430" s="341" t="str">
        <f t="shared" si="124"/>
        <v>TRK_235_2</v>
      </c>
      <c r="AG430" s="291" t="s">
        <v>5604</v>
      </c>
      <c r="AH430" t="s">
        <v>5603</v>
      </c>
      <c r="AI430" t="s">
        <v>5602</v>
      </c>
      <c r="AJ430">
        <v>0.187865</v>
      </c>
      <c r="AK430">
        <v>0.81314600000000004</v>
      </c>
      <c r="AL430">
        <v>0.62528099999999998</v>
      </c>
      <c r="AM430">
        <v>5.5024699999999998</v>
      </c>
      <c r="AN430" s="281">
        <f t="shared" si="125"/>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5583</v>
      </c>
      <c r="O431" s="338" t="str">
        <f t="shared" si="127"/>
        <v>235/21:07</v>
      </c>
      <c r="P431" s="32" t="str">
        <f t="shared" si="128"/>
        <v>235_3</v>
      </c>
      <c r="Q431" s="59">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44">
        <f t="shared" si="134"/>
        <v>-1.0547228157520294E-7</v>
      </c>
      <c r="Y431" s="343"/>
      <c r="Z431" s="342"/>
      <c r="AA431" s="78">
        <f t="shared" si="123"/>
        <v>11.108412000000001</v>
      </c>
      <c r="AC431" s="119">
        <f>AC430+AA431</f>
        <v>65.742230399997311</v>
      </c>
      <c r="AD431" s="3">
        <f t="shared" si="121"/>
        <v>-8.4377825260162355E-13</v>
      </c>
      <c r="AE431" s="3">
        <f t="shared" si="122"/>
        <v>11.108412000000845</v>
      </c>
      <c r="AF431" s="341" t="str">
        <f t="shared" si="124"/>
        <v>TRK_235_3</v>
      </c>
      <c r="AG431" s="291" t="s">
        <v>5601</v>
      </c>
      <c r="AH431" t="s">
        <v>5600</v>
      </c>
      <c r="AI431" t="s">
        <v>5599</v>
      </c>
      <c r="AJ431">
        <v>0.19467000000000001</v>
      </c>
      <c r="AK431">
        <v>1.5170999999999999</v>
      </c>
      <c r="AL431">
        <v>1.32243</v>
      </c>
      <c r="AM431">
        <v>11.637388</v>
      </c>
      <c r="AN431" s="340">
        <f t="shared" si="125"/>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5583</v>
      </c>
      <c r="O432" s="338" t="str">
        <f t="shared" si="127"/>
        <v>236/11:17</v>
      </c>
      <c r="P432" s="32" t="str">
        <f t="shared" si="128"/>
        <v>236_1</v>
      </c>
      <c r="Q432" s="59">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44">
        <f t="shared" si="134"/>
        <v>3.1979288905858994E-7</v>
      </c>
      <c r="Y432" s="343"/>
      <c r="Z432" s="342"/>
      <c r="AA432" s="78">
        <f t="shared" si="123"/>
        <v>6.7593540000000001</v>
      </c>
      <c r="AC432" s="119">
        <f>AC431+AA432</f>
        <v>72.501584399997313</v>
      </c>
      <c r="AD432" s="3">
        <f t="shared" si="121"/>
        <v>2.5583431124687194E-12</v>
      </c>
      <c r="AE432" s="3">
        <f t="shared" si="122"/>
        <v>6.7593539999974412</v>
      </c>
      <c r="AF432" s="341" t="str">
        <f t="shared" si="124"/>
        <v>TRK_236_1</v>
      </c>
      <c r="AG432" s="291" t="s">
        <v>5598</v>
      </c>
      <c r="AH432" t="s">
        <v>5597</v>
      </c>
      <c r="AI432" t="s">
        <v>5596</v>
      </c>
      <c r="AJ432">
        <v>0.22892599999999999</v>
      </c>
      <c r="AK432">
        <v>1.0336110000000001</v>
      </c>
      <c r="AL432">
        <v>0.80468499999999998</v>
      </c>
      <c r="AM432">
        <v>7.0812299999999997</v>
      </c>
      <c r="AN432" s="340">
        <f t="shared" si="125"/>
        <v>6.7593540000000001</v>
      </c>
    </row>
    <row r="433" spans="3:41" ht="13.5" customHeight="1">
      <c r="J433" t="s">
        <v>228</v>
      </c>
      <c r="K433" t="s">
        <v>825</v>
      </c>
      <c r="L433" s="95" t="str" cm="1">
        <f t="array" aca="1" ref="L433" ca="1">MID(met2utc(Q433),3,12)</f>
        <v>26-188/18:08</v>
      </c>
      <c r="M433" s="95" t="str" cm="1">
        <f t="array" aca="1" ref="M433" ca="1">MID(met2utc(R433),3,12)</f>
        <v>26-211/00:47</v>
      </c>
      <c r="N433" t="s">
        <v>5543</v>
      </c>
      <c r="O433" s="338" t="str">
        <f t="shared" si="127"/>
        <v>237/00:31</v>
      </c>
      <c r="P433" s="32" t="str">
        <f t="shared" si="128"/>
        <v>237_1</v>
      </c>
      <c r="Q433" s="59">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44">
        <f t="shared" si="134"/>
        <v>-7.2177499532699585E-9</v>
      </c>
      <c r="Y433" s="343"/>
      <c r="Z433" s="342"/>
      <c r="AA433" s="78">
        <f t="shared" si="123"/>
        <v>7.7863296000000002</v>
      </c>
      <c r="AC433" s="130">
        <f>AC425+AE433</f>
        <v>54.282589200000352</v>
      </c>
      <c r="AD433" s="3">
        <f t="shared" si="121"/>
        <v>-5.774199962615967E-14</v>
      </c>
      <c r="AE433" s="3">
        <f t="shared" si="122"/>
        <v>7.7863296000000579</v>
      </c>
      <c r="AF433" s="341" t="str">
        <f t="shared" si="124"/>
        <v>TRK_237_1</v>
      </c>
      <c r="AG433" s="291" t="s">
        <v>5595</v>
      </c>
      <c r="AH433" t="s">
        <v>5594</v>
      </c>
      <c r="AI433" t="s">
        <v>5593</v>
      </c>
      <c r="AJ433">
        <v>0.22267700000000001</v>
      </c>
      <c r="AK433">
        <v>1.149621</v>
      </c>
      <c r="AL433">
        <v>0.92694399999999999</v>
      </c>
      <c r="AM433">
        <v>8.1571119999999997</v>
      </c>
      <c r="AN433" s="340">
        <f t="shared" si="125"/>
        <v>7.7863296000000002</v>
      </c>
    </row>
    <row r="434" spans="3:41" ht="13.5" customHeight="1">
      <c r="J434" t="s">
        <v>228</v>
      </c>
      <c r="K434" t="s">
        <v>825</v>
      </c>
      <c r="L434" s="95" t="str" cm="1">
        <f t="array" aca="1" ref="L434" ca="1">MID(met2utc(Q434),3,12)</f>
        <v>26-211/00:47</v>
      </c>
      <c r="M434" s="95" t="str" cm="1">
        <f t="array" aca="1" ref="M434" ca="1">MID(met2utc(R434),3,12)</f>
        <v>26-218/23:58</v>
      </c>
      <c r="N434" t="s">
        <v>5543</v>
      </c>
      <c r="O434" s="338" t="str">
        <f t="shared" si="127"/>
        <v>237/13:01</v>
      </c>
      <c r="P434" s="32" t="str">
        <f t="shared" si="128"/>
        <v>237_2</v>
      </c>
      <c r="Q434" s="59">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44">
        <f t="shared" si="134"/>
        <v>-2.3690517991781235E-8</v>
      </c>
      <c r="Y434" s="343"/>
      <c r="Z434" s="342"/>
      <c r="AA434" s="78">
        <f t="shared" si="123"/>
        <v>2.784138</v>
      </c>
      <c r="AC434" s="130">
        <f>AE434+AC433</f>
        <v>57.066727200000543</v>
      </c>
      <c r="AD434" s="3">
        <f t="shared" si="121"/>
        <v>-1.8952414393424989E-13</v>
      </c>
      <c r="AE434" s="3">
        <f t="shared" si="122"/>
        <v>2.7841380000001896</v>
      </c>
      <c r="AF434" s="341" t="str">
        <f t="shared" si="124"/>
        <v>TRK_237_2</v>
      </c>
      <c r="AG434" s="291" t="s">
        <v>5592</v>
      </c>
      <c r="AH434" t="s">
        <v>5591</v>
      </c>
      <c r="AI434" t="s">
        <v>5590</v>
      </c>
      <c r="AJ434">
        <v>0.220665</v>
      </c>
      <c r="AK434">
        <v>0.55210999999999999</v>
      </c>
      <c r="AL434">
        <v>0.33144499999999999</v>
      </c>
      <c r="AM434">
        <v>2.9167139999999998</v>
      </c>
      <c r="AN434" s="340">
        <f t="shared" si="125"/>
        <v>2.784138</v>
      </c>
    </row>
    <row r="435" spans="3:41" ht="13.5" customHeight="1">
      <c r="L435" s="360"/>
      <c r="M435" s="360"/>
      <c r="O435" s="338" t="str">
        <f t="shared" si="127"/>
        <v>237/21:31</v>
      </c>
      <c r="P435" s="32" t="str">
        <f t="shared" si="128"/>
        <v>237_3</v>
      </c>
      <c r="Q435" s="351">
        <v>645953458</v>
      </c>
      <c r="R435" s="298">
        <v>645953885</v>
      </c>
      <c r="S435" s="191"/>
      <c r="T435" s="191">
        <v>2821250</v>
      </c>
      <c r="U435" s="349"/>
      <c r="V435" s="348">
        <f>T435</f>
        <v>2821250</v>
      </c>
      <c r="W435" s="298">
        <f t="shared" si="136"/>
        <v>2821305.9000000004</v>
      </c>
      <c r="X435" s="298">
        <f t="shared" si="134"/>
        <v>55.900000000372529</v>
      </c>
      <c r="Y435" s="343"/>
      <c r="Z435" s="347">
        <f>AA435</f>
        <v>22.570447200000004</v>
      </c>
      <c r="AA435" s="78">
        <f t="shared" si="123"/>
        <v>22.570447200000004</v>
      </c>
      <c r="AB435">
        <f>(Z435/194)*235</f>
        <v>27.340490164948459</v>
      </c>
      <c r="AC435" s="359">
        <f>AC428+AA435</f>
        <v>110.992014</v>
      </c>
      <c r="AD435" s="3">
        <f t="shared" si="121"/>
        <v>4.4720000000298023E-4</v>
      </c>
      <c r="AE435" s="3">
        <f t="shared" si="122"/>
        <v>22.57</v>
      </c>
      <c r="AF435" s="358" t="str">
        <f t="shared" si="124"/>
        <v>TRK_237_3</v>
      </c>
      <c r="AG435" s="291" t="s">
        <v>5589</v>
      </c>
      <c r="AH435" t="s">
        <v>5588</v>
      </c>
      <c r="AI435" t="s">
        <v>5587</v>
      </c>
      <c r="AJ435">
        <v>0.19519500000000001</v>
      </c>
      <c r="AK435">
        <v>2.8821530000000002</v>
      </c>
      <c r="AL435">
        <v>2.6869580000000002</v>
      </c>
      <c r="AM435">
        <v>23.645235</v>
      </c>
      <c r="AN435" s="340">
        <f t="shared" si="125"/>
        <v>22.570447200000004</v>
      </c>
    </row>
    <row r="436" spans="3:41" ht="13.5" customHeight="1">
      <c r="J436" t="s">
        <v>228</v>
      </c>
      <c r="K436" t="s">
        <v>825</v>
      </c>
      <c r="L436" s="95" t="str" cm="1">
        <f t="array" aca="1" ref="L436" ca="1">MID(met2utc(Q436),3,12)</f>
        <v>26-218/23:58</v>
      </c>
      <c r="M436" s="95" t="str" cm="1">
        <f t="array" aca="1" ref="M436" ca="1">MID(met2utc(R436),3,12)</f>
        <v>26-230/18:29</v>
      </c>
      <c r="N436" t="s">
        <v>5543</v>
      </c>
      <c r="O436" s="338" t="str">
        <f t="shared" si="127"/>
        <v>238/12:21</v>
      </c>
      <c r="P436" s="32" t="str">
        <f t="shared" si="128"/>
        <v>238_1</v>
      </c>
      <c r="Q436" s="59">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44">
        <f t="shared" si="134"/>
        <v>1.1641532182693481E-8</v>
      </c>
      <c r="Y436" s="343"/>
      <c r="Z436" s="342"/>
      <c r="AA436" s="78">
        <f t="shared" si="123"/>
        <v>4.1144124</v>
      </c>
      <c r="AB436" s="100">
        <f>Z435*0.687</f>
        <v>15.505897226400004</v>
      </c>
      <c r="AC436" s="130">
        <f>AC434+AE436</f>
        <v>61.181139600000449</v>
      </c>
      <c r="AD436" s="3">
        <f t="shared" si="121"/>
        <v>9.3132257461547856E-14</v>
      </c>
      <c r="AE436" s="3">
        <f t="shared" si="122"/>
        <v>4.1144123999999067</v>
      </c>
      <c r="AF436" s="341" t="str">
        <f t="shared" si="124"/>
        <v>TRK_238_1</v>
      </c>
      <c r="AG436" s="291" t="s">
        <v>5586</v>
      </c>
      <c r="AH436" t="s">
        <v>5585</v>
      </c>
      <c r="AI436" t="s">
        <v>5584</v>
      </c>
      <c r="AJ436">
        <v>0.21891099999999999</v>
      </c>
      <c r="AK436">
        <v>0.70872199999999996</v>
      </c>
      <c r="AL436">
        <v>0.489811</v>
      </c>
      <c r="AM436">
        <v>4.3103360000000004</v>
      </c>
      <c r="AN436" s="340">
        <f t="shared" si="125"/>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5583</v>
      </c>
      <c r="O437" s="338" t="str">
        <f t="shared" si="127"/>
        <v>239/21:26</v>
      </c>
      <c r="P437" s="32" t="str">
        <f t="shared" si="128"/>
        <v>239_1</v>
      </c>
      <c r="Q437" s="59">
        <f>R432-1</f>
        <v>617929086.23394144</v>
      </c>
      <c r="R437" s="357">
        <f>W437/$V$31+Q437</f>
        <v>618199294.06914234</v>
      </c>
      <c r="S437" s="21">
        <f t="shared" si="137"/>
        <v>270207.8352009058</v>
      </c>
      <c r="T437" s="21">
        <f>S437*$V$31</f>
        <v>1865522.4000002535</v>
      </c>
      <c r="U437" s="3">
        <v>0</v>
      </c>
      <c r="V437" s="20">
        <f>T437+U437*$V$34</f>
        <v>1865522.4000002535</v>
      </c>
      <c r="W437" s="20">
        <f t="shared" si="136"/>
        <v>1865522.4000000001</v>
      </c>
      <c r="X437" s="344">
        <f t="shared" si="134"/>
        <v>-2.5331974029541016E-7</v>
      </c>
      <c r="Y437" s="343"/>
      <c r="Z437" s="342"/>
      <c r="AA437" s="78">
        <f t="shared" si="123"/>
        <v>14.924179200000001</v>
      </c>
      <c r="AC437" s="119">
        <f>AE437+AC432</f>
        <v>87.425763599999343</v>
      </c>
      <c r="AD437" s="3">
        <f t="shared" si="121"/>
        <v>-2.0265579223632812E-12</v>
      </c>
      <c r="AE437" s="3">
        <f t="shared" si="122"/>
        <v>14.924179200002028</v>
      </c>
      <c r="AF437" s="341" t="str">
        <f t="shared" si="124"/>
        <v>TRK_239_1_</v>
      </c>
      <c r="AG437" s="291" t="s">
        <v>5582</v>
      </c>
      <c r="AH437" t="s">
        <v>5581</v>
      </c>
      <c r="AI437" t="s">
        <v>5580</v>
      </c>
      <c r="AJ437">
        <v>0.52125299999999997</v>
      </c>
      <c r="AK437">
        <v>2.2979409999999998</v>
      </c>
      <c r="AL437">
        <v>1.776688</v>
      </c>
      <c r="AM437">
        <v>15.634855</v>
      </c>
      <c r="AN437" s="340">
        <f t="shared" si="125"/>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5579</v>
      </c>
      <c r="O438" s="338" t="str">
        <f t="shared" si="127"/>
        <v>240/09:21</v>
      </c>
      <c r="P438" s="32" t="str">
        <f t="shared" si="128"/>
        <v>240_1</v>
      </c>
      <c r="Q438" s="59">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44">
        <f t="shared" si="134"/>
        <v>-2.0628795027732849E-7</v>
      </c>
      <c r="Y438" s="343"/>
      <c r="Z438" s="342"/>
      <c r="AA438" s="78">
        <f t="shared" si="123"/>
        <v>8.8994220000000013</v>
      </c>
      <c r="AC438" s="119">
        <f>AC437+AA438</f>
        <v>96.325185599999344</v>
      </c>
      <c r="AD438" s="3">
        <f t="shared" si="121"/>
        <v>-1.6503036022186279E-12</v>
      </c>
      <c r="AE438" s="3">
        <f t="shared" si="122"/>
        <v>8.8994220000016515</v>
      </c>
      <c r="AF438" s="341" t="str">
        <f t="shared" si="124"/>
        <v>TRK_240_1</v>
      </c>
      <c r="AG438" s="291" t="s">
        <v>5578</v>
      </c>
      <c r="AH438" t="s">
        <v>5577</v>
      </c>
      <c r="AI438" t="s">
        <v>5576</v>
      </c>
      <c r="AJ438">
        <v>0.20555799999999999</v>
      </c>
      <c r="AK438">
        <v>1.2650129999999999</v>
      </c>
      <c r="AL438">
        <v>1.059455</v>
      </c>
      <c r="AM438">
        <v>9.3232040000000005</v>
      </c>
      <c r="AN438" s="340">
        <f t="shared" si="125"/>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5569</v>
      </c>
      <c r="O439" s="338" t="str">
        <f t="shared" si="127"/>
        <v>241/02:26</v>
      </c>
      <c r="P439" s="32" t="str">
        <f t="shared" si="128"/>
        <v>241_1</v>
      </c>
      <c r="Q439" s="59">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44">
        <f t="shared" si="134"/>
        <v>3.1245872378349304E-7</v>
      </c>
      <c r="Y439" s="343"/>
      <c r="Z439" s="342"/>
      <c r="AA439" s="78">
        <f t="shared" si="123"/>
        <v>20.395393200000001</v>
      </c>
      <c r="AC439" s="119">
        <f>AC438+AA439</f>
        <v>116.72057879999934</v>
      </c>
      <c r="AD439" s="3">
        <f t="shared" si="121"/>
        <v>2.4996697902679445E-12</v>
      </c>
      <c r="AE439" s="3">
        <f t="shared" si="122"/>
        <v>20.3953931999975</v>
      </c>
      <c r="AF439" s="341" t="str">
        <f t="shared" si="124"/>
        <v>TRK_241_1</v>
      </c>
      <c r="AG439" s="291" t="s">
        <v>5575</v>
      </c>
      <c r="AH439" t="s">
        <v>5574</v>
      </c>
      <c r="AI439" t="s">
        <v>5573</v>
      </c>
      <c r="AJ439">
        <v>0.224053</v>
      </c>
      <c r="AK439">
        <v>2.6520760000000001</v>
      </c>
      <c r="AL439">
        <v>2.428023</v>
      </c>
      <c r="AM439">
        <v>21.366603999999999</v>
      </c>
      <c r="AN439" s="340">
        <f t="shared" si="125"/>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5569</v>
      </c>
      <c r="O440" s="338" t="str">
        <f t="shared" si="127"/>
        <v>242/09:01</v>
      </c>
      <c r="P440" s="32" t="str">
        <f t="shared" si="128"/>
        <v>242_1</v>
      </c>
      <c r="Q440" s="59">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44">
        <f t="shared" si="134"/>
        <v>1.1478550732135773E-7</v>
      </c>
      <c r="Y440" s="343"/>
      <c r="Z440" s="342"/>
      <c r="AA440" s="78">
        <f t="shared" si="123"/>
        <v>8.5820196000000006</v>
      </c>
      <c r="AC440" s="119">
        <f>AC439+AA440</f>
        <v>125.30259839999934</v>
      </c>
      <c r="AD440" s="3">
        <f t="shared" si="121"/>
        <v>9.1828405857086172E-13</v>
      </c>
      <c r="AE440" s="3">
        <f t="shared" si="122"/>
        <v>8.582019599999084</v>
      </c>
      <c r="AF440" s="341" t="str">
        <f t="shared" si="124"/>
        <v>TRK_242_1</v>
      </c>
      <c r="AG440" s="291" t="s">
        <v>5572</v>
      </c>
      <c r="AH440" t="s">
        <v>5571</v>
      </c>
      <c r="AI440" t="s">
        <v>5570</v>
      </c>
      <c r="AJ440">
        <v>0.31891399999999998</v>
      </c>
      <c r="AK440">
        <v>1.3405830000000001</v>
      </c>
      <c r="AL440">
        <v>1.0216689999999999</v>
      </c>
      <c r="AM440">
        <v>8.9906830000000006</v>
      </c>
      <c r="AN440" s="340">
        <f t="shared" si="125"/>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5569</v>
      </c>
      <c r="O441" s="338" t="str">
        <f t="shared" si="127"/>
        <v>243/00:10</v>
      </c>
      <c r="P441" s="32" t="str">
        <f t="shared" si="128"/>
        <v>243_1</v>
      </c>
      <c r="Q441" s="59">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44">
        <f t="shared" si="134"/>
        <v>8.0792233347892761E-8</v>
      </c>
      <c r="Y441" s="343"/>
      <c r="Z441" s="342"/>
      <c r="AA441" s="78">
        <f t="shared" si="123"/>
        <v>12.491144400000001</v>
      </c>
      <c r="AB441">
        <f>SUM(AA431:AA441)</f>
        <v>120.4152516</v>
      </c>
      <c r="AC441" s="119">
        <f>AC440+AA441</f>
        <v>137.79374279999934</v>
      </c>
      <c r="AD441" s="3">
        <f t="shared" si="121"/>
        <v>6.4633786678314205E-13</v>
      </c>
      <c r="AE441" s="3">
        <f t="shared" si="122"/>
        <v>12.491144399999357</v>
      </c>
      <c r="AF441" s="341" t="str">
        <f t="shared" si="124"/>
        <v>TRK_243_1_</v>
      </c>
      <c r="AG441" s="291" t="s">
        <v>5568</v>
      </c>
      <c r="AH441" t="s">
        <v>5567</v>
      </c>
      <c r="AI441" t="s">
        <v>5566</v>
      </c>
      <c r="AJ441">
        <v>0.38433699999999998</v>
      </c>
      <c r="AK441">
        <v>1.871378</v>
      </c>
      <c r="AL441">
        <v>1.4870410000000001</v>
      </c>
      <c r="AM441">
        <v>13.08596</v>
      </c>
      <c r="AN441" s="340">
        <f t="shared" si="125"/>
        <v>12.491144400000001</v>
      </c>
      <c r="AO441">
        <f>SUM(AN431:AN441)</f>
        <v>120.4152516</v>
      </c>
    </row>
    <row r="442" spans="3:41" ht="13.5" customHeight="1">
      <c r="V442" s="20"/>
      <c r="W442" s="20">
        <f t="shared" si="136"/>
        <v>87306.701030927827</v>
      </c>
      <c r="AA442" s="78">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5564</v>
      </c>
    </row>
    <row r="452" spans="3:42" ht="13.5" customHeight="1">
      <c r="J452" t="s">
        <v>228</v>
      </c>
      <c r="K452" t="s">
        <v>825</v>
      </c>
      <c r="L452" s="95" t="str" cm="1">
        <f t="array" aca="1" ref="L452" ca="1">MID(met2utc(Q452),3,12)</f>
        <v>26-230/18:29</v>
      </c>
      <c r="M452" s="95" t="str" cm="1">
        <f t="array" aca="1" ref="M452" ca="1">MID(met2utc(R452),3,12)</f>
        <v>26-233/07:32</v>
      </c>
      <c r="N452" t="s">
        <v>5543</v>
      </c>
      <c r="O452" s="338" t="str">
        <f t="shared" ref="O452:O464" si="138">AG452</f>
        <v>246T02:55</v>
      </c>
      <c r="P452" s="32" t="str">
        <f t="shared" ref="P452:P464" si="139">MID(AH452,5,5)</f>
        <v>246_1</v>
      </c>
      <c r="Q452" s="59">
        <f>R436-3</f>
        <v>649383683.11997747</v>
      </c>
      <c r="R452" s="21">
        <f>W452/$S$2+Q452</f>
        <v>649603460.5686059</v>
      </c>
      <c r="S452" s="21">
        <f t="shared" ref="S452:S464" si="140">R452-Q452</f>
        <v>219777.4486284256</v>
      </c>
      <c r="T452" s="21">
        <f>S452*$S$2</f>
        <v>111134.10000001024</v>
      </c>
      <c r="U452" s="3">
        <v>0</v>
      </c>
      <c r="V452" s="20">
        <f>T452+U452*$V$38</f>
        <v>111134.10000001024</v>
      </c>
      <c r="W452" s="20">
        <f t="shared" ref="W452:W463" si="141">AA452*1000000/8</f>
        <v>111134.10000000002</v>
      </c>
      <c r="X452" s="344">
        <f t="shared" ref="X452:X464" si="142">W452-V452</f>
        <v>-1.021544449031353E-8</v>
      </c>
      <c r="Y452" s="343"/>
      <c r="Z452" s="342"/>
      <c r="AA452" s="78">
        <f t="shared" ref="AA452:AA463" si="143">AN452</f>
        <v>0.88907280000000011</v>
      </c>
      <c r="AC452" s="130">
        <f>AC444+AE452</f>
        <v>0.88907280000008193</v>
      </c>
      <c r="AD452" s="3">
        <f t="shared" ref="AD452:AD463" si="144">X452*8/1000000</f>
        <v>-8.1723555922508245E-14</v>
      </c>
      <c r="AE452" s="3">
        <f t="shared" ref="AE452:AE463" si="145">V452*8/1000000</f>
        <v>0.88907280000008193</v>
      </c>
      <c r="AF452" s="341" t="str">
        <f t="shared" ref="AF452:AF463" si="146">AH452</f>
        <v>TRK_246_1</v>
      </c>
      <c r="AG452" t="str">
        <f>MID(AP452,6,9)</f>
        <v>246T02:55</v>
      </c>
      <c r="AH452" t="s">
        <v>5563</v>
      </c>
      <c r="AI452" t="s">
        <v>5562</v>
      </c>
      <c r="AJ452">
        <v>2.3385389999999999</v>
      </c>
      <c r="AK452">
        <v>2.4443809999999999</v>
      </c>
      <c r="AL452">
        <v>0.10584200000000001</v>
      </c>
      <c r="AM452">
        <v>0.93141300000000005</v>
      </c>
      <c r="AN452" s="340">
        <f t="shared" ref="AN452:AN463" si="147">AL452*8*1.05</f>
        <v>0.88907280000000011</v>
      </c>
      <c r="AP452" s="339" t="s">
        <v>5561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5522</v>
      </c>
      <c r="O453" s="338" t="str">
        <f t="shared" si="138"/>
        <v>247T00:35</v>
      </c>
      <c r="P453" s="32" t="str">
        <f t="shared" si="139"/>
        <v>247_1</v>
      </c>
      <c r="Q453" s="356">
        <f>$R$437-1</f>
        <v>618199293.06914234</v>
      </c>
      <c r="R453" s="21">
        <f>W453/$V$32+Q453</f>
        <v>624013322.68616366</v>
      </c>
      <c r="S453" s="21">
        <f t="shared" si="140"/>
        <v>5814029.6170213223</v>
      </c>
      <c r="T453" s="21">
        <f>S453*$V$32</f>
        <v>3202258.5000000251</v>
      </c>
      <c r="U453" s="3">
        <v>0</v>
      </c>
      <c r="V453" s="20">
        <f>T453+U453*$V$34</f>
        <v>3202258.5000000251</v>
      </c>
      <c r="W453" s="20">
        <f t="shared" si="141"/>
        <v>3202258.5</v>
      </c>
      <c r="X453" s="344">
        <f t="shared" si="142"/>
        <v>-2.514570951461792E-8</v>
      </c>
      <c r="Y453" s="343"/>
      <c r="Z453" s="342"/>
      <c r="AA453" s="78">
        <f t="shared" si="143"/>
        <v>25.618068000000001</v>
      </c>
      <c r="AC453" s="119">
        <f>AC452+AA453</f>
        <v>26.507140800000084</v>
      </c>
      <c r="AD453" s="3">
        <f t="shared" si="144"/>
        <v>-2.0116567611694335E-13</v>
      </c>
      <c r="AE453" s="3">
        <f t="shared" si="145"/>
        <v>25.6180680000002</v>
      </c>
      <c r="AF453" s="341" t="str">
        <f t="shared" si="146"/>
        <v>TRK_247_1</v>
      </c>
      <c r="AG453" t="str">
        <f>MID(AP453,6,9)</f>
        <v>247T00:35</v>
      </c>
      <c r="AH453" t="s">
        <v>5560</v>
      </c>
      <c r="AI453" t="s">
        <v>5559</v>
      </c>
      <c r="AJ453">
        <v>0.25876399999999999</v>
      </c>
      <c r="AK453">
        <v>3.3085339999999999</v>
      </c>
      <c r="AL453">
        <v>3.0497700000000001</v>
      </c>
      <c r="AM453">
        <v>26.837975</v>
      </c>
      <c r="AN453" s="340">
        <f t="shared" si="147"/>
        <v>25.618068000000001</v>
      </c>
      <c r="AP453" s="339" t="s">
        <v>5558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5522</v>
      </c>
      <c r="O454" s="338" t="str">
        <f t="shared" si="138"/>
        <v>247T20:25</v>
      </c>
      <c r="P454" s="32" t="str">
        <f t="shared" si="139"/>
        <v>247_2</v>
      </c>
      <c r="Q454" s="59">
        <f>R453-1</f>
        <v>624013321.68616366</v>
      </c>
      <c r="R454" s="21">
        <f>W454/$V$32+Q454</f>
        <v>627408864.29041898</v>
      </c>
      <c r="S454" s="21">
        <f t="shared" si="140"/>
        <v>3395542.6042553186</v>
      </c>
      <c r="T454" s="21">
        <f>S454*$V$32</f>
        <v>1870201.1999999997</v>
      </c>
      <c r="U454" s="3">
        <v>0</v>
      </c>
      <c r="V454" s="20">
        <f>T454+U454*$V$34</f>
        <v>1870201.1999999997</v>
      </c>
      <c r="W454" s="20">
        <f t="shared" si="141"/>
        <v>1870201.2000000002</v>
      </c>
      <c r="X454" s="344">
        <f t="shared" si="142"/>
        <v>0</v>
      </c>
      <c r="Y454" s="343"/>
      <c r="Z454" s="342"/>
      <c r="AA454" s="78">
        <f t="shared" si="143"/>
        <v>14.961609600000001</v>
      </c>
      <c r="AC454" s="119">
        <f>AC453+AE454</f>
        <v>41.468750400000083</v>
      </c>
      <c r="AD454" s="3">
        <f t="shared" si="144"/>
        <v>0</v>
      </c>
      <c r="AE454" s="3">
        <f t="shared" si="145"/>
        <v>14.961609599999997</v>
      </c>
      <c r="AF454" s="341" t="str">
        <f t="shared" si="146"/>
        <v>TRK_247_2_</v>
      </c>
      <c r="AG454" t="str">
        <f>MID(AP454,6,9)</f>
        <v>247T20:25</v>
      </c>
      <c r="AH454" t="s">
        <v>5557</v>
      </c>
      <c r="AI454" t="s">
        <v>5556</v>
      </c>
      <c r="AJ454">
        <v>0.38963700000000001</v>
      </c>
      <c r="AK454">
        <v>2.1707809999999998</v>
      </c>
      <c r="AL454">
        <v>1.7811440000000001</v>
      </c>
      <c r="AM454">
        <v>15.674068999999999</v>
      </c>
      <c r="AN454" s="340">
        <f t="shared" si="147"/>
        <v>14.961609600000001</v>
      </c>
      <c r="AP454" s="339" t="s">
        <v>5555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5522</v>
      </c>
      <c r="O455" s="338" t="str">
        <f t="shared" si="138"/>
        <v>248T09:30</v>
      </c>
      <c r="P455" s="32" t="str">
        <f t="shared" si="139"/>
        <v>248_1</v>
      </c>
      <c r="Q455" s="59">
        <f>R454-1</f>
        <v>627408863.29041898</v>
      </c>
      <c r="R455" s="21">
        <f>W455/$V$32+Q455</f>
        <v>629353764.73722744</v>
      </c>
      <c r="S455" s="21">
        <f t="shared" si="140"/>
        <v>1944901.4468084574</v>
      </c>
      <c r="T455" s="21">
        <f>S455*$V$32</f>
        <v>1071215.2499999707</v>
      </c>
      <c r="U455" s="3">
        <v>0</v>
      </c>
      <c r="V455" s="20">
        <f>T455+U455*$V$34</f>
        <v>1071215.2499999707</v>
      </c>
      <c r="W455" s="20">
        <f t="shared" si="141"/>
        <v>1071215.25</v>
      </c>
      <c r="X455" s="344">
        <f t="shared" si="142"/>
        <v>2.9336661100387573E-8</v>
      </c>
      <c r="Y455" s="343"/>
      <c r="Z455" s="342"/>
      <c r="AA455" s="78">
        <f t="shared" si="143"/>
        <v>8.5697220000000005</v>
      </c>
      <c r="AC455" s="119">
        <f>AC454+AE455</f>
        <v>50.038472399999847</v>
      </c>
      <c r="AD455" s="3">
        <f t="shared" si="144"/>
        <v>2.3469328880310059E-13</v>
      </c>
      <c r="AE455" s="3">
        <f t="shared" si="145"/>
        <v>8.569721999999766</v>
      </c>
      <c r="AF455" s="341" t="str">
        <f t="shared" si="146"/>
        <v>TRK_248_1</v>
      </c>
      <c r="AG455" t="str">
        <f>MID(AP455,6,9)</f>
        <v>248T09:30</v>
      </c>
      <c r="AH455" t="s">
        <v>5554</v>
      </c>
      <c r="AI455" t="s">
        <v>5553</v>
      </c>
      <c r="AJ455">
        <v>0.21471999999999999</v>
      </c>
      <c r="AK455">
        <v>1.2349250000000001</v>
      </c>
      <c r="AL455">
        <v>1.020205</v>
      </c>
      <c r="AM455">
        <v>8.9778009999999995</v>
      </c>
      <c r="AN455" s="340">
        <f t="shared" si="147"/>
        <v>8.5697220000000005</v>
      </c>
      <c r="AP455" s="339" t="s">
        <v>5552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5522</v>
      </c>
      <c r="O456" s="338" t="str">
        <f t="shared" si="138"/>
        <v>248/23:59</v>
      </c>
      <c r="P456" s="32" t="str">
        <f t="shared" si="139"/>
        <v>248_2</v>
      </c>
      <c r="Q456" s="59">
        <f>R455-1</f>
        <v>629353763.73722744</v>
      </c>
      <c r="R456" s="21">
        <f>W456/$V$32+Q456</f>
        <v>631399587.19254661</v>
      </c>
      <c r="S456" s="21">
        <f t="shared" si="140"/>
        <v>2045823.4553191662</v>
      </c>
      <c r="T456" s="21">
        <f>S456*$V$32</f>
        <v>1126801.2000000095</v>
      </c>
      <c r="U456" s="3">
        <v>0</v>
      </c>
      <c r="V456" s="20">
        <f>T456+U456*$V$34</f>
        <v>1126801.2000000095</v>
      </c>
      <c r="W456" s="20">
        <f t="shared" si="141"/>
        <v>1126801.2</v>
      </c>
      <c r="X456" s="344">
        <f t="shared" si="142"/>
        <v>-9.5460563898086548E-9</v>
      </c>
      <c r="Y456" s="343"/>
      <c r="Z456" s="342"/>
      <c r="AA456" s="78">
        <f t="shared" si="143"/>
        <v>9.0144096000000005</v>
      </c>
      <c r="AC456" s="119">
        <f>AC455+AE456</f>
        <v>59.052881999999926</v>
      </c>
      <c r="AD456" s="3">
        <f t="shared" si="144"/>
        <v>-7.6368451118469239E-14</v>
      </c>
      <c r="AE456" s="3">
        <f t="shared" si="145"/>
        <v>9.0144096000000768</v>
      </c>
      <c r="AF456" s="341" t="str">
        <f t="shared" si="146"/>
        <v>TRK_248_2</v>
      </c>
      <c r="AG456" t="s">
        <v>5551</v>
      </c>
      <c r="AH456" t="s">
        <v>5550</v>
      </c>
      <c r="AI456" t="s">
        <v>5549</v>
      </c>
      <c r="AJ456">
        <v>0.21366599999999999</v>
      </c>
      <c r="AK456">
        <v>1.28681</v>
      </c>
      <c r="AL456">
        <v>1.0731440000000001</v>
      </c>
      <c r="AM456">
        <v>9.4436699999999991</v>
      </c>
      <c r="AN456" s="340">
        <f t="shared" si="147"/>
        <v>9.0144096000000005</v>
      </c>
      <c r="AP456" s="339" t="s">
        <v>5548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5522</v>
      </c>
      <c r="O457" s="338" t="str">
        <f t="shared" si="138"/>
        <v>250/02:19</v>
      </c>
      <c r="P457" s="32" t="str">
        <f t="shared" si="139"/>
        <v>250_1</v>
      </c>
      <c r="Q457" s="59">
        <f>R456-1</f>
        <v>631399586.19254661</v>
      </c>
      <c r="R457" s="21">
        <f>W457/$V$32+Q457</f>
        <v>633159122.39680195</v>
      </c>
      <c r="S457" s="21">
        <f t="shared" si="140"/>
        <v>1759536.2042553425</v>
      </c>
      <c r="T457" s="21">
        <f>S457*$V$32</f>
        <v>969119.55000001285</v>
      </c>
      <c r="U457" s="3">
        <v>0</v>
      </c>
      <c r="V457" s="20">
        <f>T457+U457*$V$34</f>
        <v>969119.55000001285</v>
      </c>
      <c r="W457" s="20">
        <f t="shared" si="141"/>
        <v>969119.55</v>
      </c>
      <c r="X457" s="344">
        <f t="shared" si="142"/>
        <v>-1.280568540096283E-8</v>
      </c>
      <c r="Y457" s="343"/>
      <c r="Z457" s="342"/>
      <c r="AA457" s="78">
        <f t="shared" si="143"/>
        <v>7.7529564000000004</v>
      </c>
      <c r="AC457" s="119">
        <f>AC456+AE457</f>
        <v>66.805838400000027</v>
      </c>
      <c r="AD457" s="3">
        <f t="shared" si="144"/>
        <v>-1.0244548320770264E-13</v>
      </c>
      <c r="AE457" s="3">
        <f t="shared" si="145"/>
        <v>7.7529564000001026</v>
      </c>
      <c r="AF457" s="341" t="str">
        <f t="shared" si="146"/>
        <v>TRK_250_1</v>
      </c>
      <c r="AG457" t="s">
        <v>5547</v>
      </c>
      <c r="AH457" t="s">
        <v>5546</v>
      </c>
      <c r="AI457" t="s">
        <v>5545</v>
      </c>
      <c r="AJ457">
        <v>0.32174000000000003</v>
      </c>
      <c r="AK457">
        <v>1.2447109999999999</v>
      </c>
      <c r="AL457">
        <v>0.92297099999999999</v>
      </c>
      <c r="AM457">
        <v>8.1221420000000002</v>
      </c>
      <c r="AN457" s="340">
        <f t="shared" si="147"/>
        <v>7.7529564000000004</v>
      </c>
      <c r="AP457" s="339" t="s">
        <v>5544</v>
      </c>
    </row>
    <row r="458" spans="3:42" ht="13.5" customHeight="1">
      <c r="J458" t="s">
        <v>228</v>
      </c>
      <c r="K458" t="s">
        <v>825</v>
      </c>
      <c r="L458" s="95" t="str" cm="1">
        <f t="array" aca="1" ref="L458" ca="1">MID(met2utc(Q458),3,12)</f>
        <v>26-233/07:32</v>
      </c>
      <c r="M458" s="95" t="str" cm="1">
        <f t="array" aca="1" ref="M458" ca="1">MID(met2utc(R458),3,12)</f>
        <v>26-248/00:38</v>
      </c>
      <c r="N458" t="s">
        <v>5543</v>
      </c>
      <c r="O458" s="338" t="str">
        <f t="shared" si="138"/>
        <v>250/11:04</v>
      </c>
      <c r="P458" s="32" t="str">
        <f t="shared" si="139"/>
        <v>250_2</v>
      </c>
      <c r="Q458" s="59">
        <f>R452-3</f>
        <v>649603457.5686059</v>
      </c>
      <c r="R458" s="21">
        <f>W458/$S$2+Q458</f>
        <v>650874596.07753575</v>
      </c>
      <c r="S458" s="21">
        <f t="shared" si="140"/>
        <v>1271138.5089298487</v>
      </c>
      <c r="T458" s="21">
        <f>S458*$S$2</f>
        <v>642772.19999997097</v>
      </c>
      <c r="U458" s="3">
        <v>0</v>
      </c>
      <c r="V458" s="20">
        <f>T458+U458*$V$38</f>
        <v>642772.19999997097</v>
      </c>
      <c r="W458" s="20">
        <f t="shared" si="141"/>
        <v>642772.20000000007</v>
      </c>
      <c r="X458" s="344">
        <f t="shared" si="142"/>
        <v>2.9103830456733704E-8</v>
      </c>
      <c r="Y458" s="343"/>
      <c r="Z458" s="342"/>
      <c r="AA458" s="78">
        <f t="shared" si="143"/>
        <v>5.1421776000000001</v>
      </c>
      <c r="AC458" s="130">
        <f>AC450+AE458</f>
        <v>5.1421775999997674</v>
      </c>
      <c r="AD458" s="3">
        <f t="shared" si="144"/>
        <v>2.3283064365386963E-13</v>
      </c>
      <c r="AE458" s="3">
        <f t="shared" si="145"/>
        <v>5.1421775999997674</v>
      </c>
      <c r="AF458" s="341" t="str">
        <f t="shared" si="146"/>
        <v>TRK_250_2</v>
      </c>
      <c r="AG458" t="s">
        <v>5542</v>
      </c>
      <c r="AH458" t="s">
        <v>5541</v>
      </c>
      <c r="AI458" t="s">
        <v>5540</v>
      </c>
      <c r="AJ458">
        <v>0.19039600000000001</v>
      </c>
      <c r="AK458">
        <v>0.80256000000000005</v>
      </c>
      <c r="AL458">
        <v>0.61216400000000004</v>
      </c>
      <c r="AM458">
        <v>5.387041</v>
      </c>
      <c r="AN458" s="340">
        <f t="shared" si="147"/>
        <v>5.1421776000000001</v>
      </c>
      <c r="AP458" s="339" t="s">
        <v>5539</v>
      </c>
    </row>
    <row r="459" spans="3:42" ht="13.5" customHeight="1">
      <c r="C459" s="3">
        <v>104</v>
      </c>
      <c r="D459" s="3">
        <v>105</v>
      </c>
      <c r="G459" s="3"/>
      <c r="I459" t="s">
        <v>54</v>
      </c>
      <c r="L459" s="79" t="str" cm="1">
        <f t="array" aca="1" ref="L459" ca="1">MID(met2utc(Q459),3,12)</f>
        <v>26-042/23:40</v>
      </c>
      <c r="M459" s="79" t="str" cm="1">
        <f t="array" aca="1" ref="M459" ca="1">MID(met2utc(R459),3,12)</f>
        <v>26-086/15:51</v>
      </c>
      <c r="N459" t="s">
        <v>5522</v>
      </c>
      <c r="O459" s="338" t="str">
        <f t="shared" si="138"/>
        <v>250/21:44</v>
      </c>
      <c r="P459" s="32" t="str">
        <f t="shared" si="139"/>
        <v>250_3</v>
      </c>
      <c r="Q459" s="59">
        <f>R457-1</f>
        <v>633159121.39680195</v>
      </c>
      <c r="R459" s="21">
        <f>W459/$V$32+Q459</f>
        <v>636932585.36275935</v>
      </c>
      <c r="S459" s="21">
        <f t="shared" si="140"/>
        <v>3773463.9659574032</v>
      </c>
      <c r="T459" s="21">
        <f>S459*$V$32</f>
        <v>2078353.199999976</v>
      </c>
      <c r="U459" s="3">
        <v>0</v>
      </c>
      <c r="V459" s="20">
        <f t="shared" ref="V459:V464" si="148">T459+U459*$V$34</f>
        <v>2078353.199999976</v>
      </c>
      <c r="W459" s="20">
        <f t="shared" si="141"/>
        <v>2078353.2</v>
      </c>
      <c r="X459" s="344">
        <f t="shared" si="142"/>
        <v>2.3981556296348572E-8</v>
      </c>
      <c r="Y459" s="343"/>
      <c r="Z459" s="342"/>
      <c r="AA459" s="78">
        <f t="shared" si="143"/>
        <v>16.6268256</v>
      </c>
      <c r="AC459" s="119">
        <f>AC457+AE459</f>
        <v>83.432663999999832</v>
      </c>
      <c r="AD459" s="3">
        <f t="shared" si="144"/>
        <v>1.9185245037078857E-13</v>
      </c>
      <c r="AE459" s="3">
        <f t="shared" si="145"/>
        <v>16.626825599999808</v>
      </c>
      <c r="AF459" s="341" t="str">
        <f t="shared" si="146"/>
        <v>TRK_250_3</v>
      </c>
      <c r="AG459" t="s">
        <v>5538</v>
      </c>
      <c r="AH459" t="s">
        <v>5537</v>
      </c>
      <c r="AI459" t="s">
        <v>5536</v>
      </c>
      <c r="AJ459">
        <v>0.20722699999999999</v>
      </c>
      <c r="AK459">
        <v>2.1866110000000001</v>
      </c>
      <c r="AL459">
        <v>1.979384</v>
      </c>
      <c r="AM459">
        <v>17.418583000000002</v>
      </c>
      <c r="AN459" s="340">
        <f t="shared" si="147"/>
        <v>16.6268256</v>
      </c>
      <c r="AP459" s="339" t="s">
        <v>5535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5522</v>
      </c>
      <c r="O460" s="338" t="str">
        <f t="shared" si="138"/>
        <v>251/20:34</v>
      </c>
      <c r="P460" s="32" t="str">
        <f t="shared" si="139"/>
        <v>251_1</v>
      </c>
      <c r="Q460" s="59">
        <f>R459-1</f>
        <v>636932584.36275935</v>
      </c>
      <c r="R460" s="21">
        <f>W460/$V$32+Q460</f>
        <v>640424208.66914237</v>
      </c>
      <c r="S460" s="21">
        <f t="shared" si="140"/>
        <v>3491624.3063830137</v>
      </c>
      <c r="T460" s="21">
        <f>S460*$V$32</f>
        <v>1923121.2000000193</v>
      </c>
      <c r="U460" s="3">
        <v>0</v>
      </c>
      <c r="V460" s="20">
        <f t="shared" si="148"/>
        <v>1923121.2000000193</v>
      </c>
      <c r="W460" s="20">
        <f t="shared" si="141"/>
        <v>1923121.2000000002</v>
      </c>
      <c r="X460" s="344">
        <f t="shared" si="142"/>
        <v>-1.909211277961731E-8</v>
      </c>
      <c r="Y460" s="343"/>
      <c r="Z460" s="342"/>
      <c r="AA460" s="78">
        <f t="shared" si="143"/>
        <v>15.384969600000002</v>
      </c>
      <c r="AC460" s="119">
        <f>AC459+AE460</f>
        <v>98.817633599999994</v>
      </c>
      <c r="AD460" s="3">
        <f t="shared" si="144"/>
        <v>-1.5273690223693848E-13</v>
      </c>
      <c r="AE460" s="3">
        <f t="shared" si="145"/>
        <v>15.384969600000154</v>
      </c>
      <c r="AF460" s="341" t="str">
        <f t="shared" si="146"/>
        <v>TRK_251_1_</v>
      </c>
      <c r="AG460" t="s">
        <v>5534</v>
      </c>
      <c r="AH460" t="s">
        <v>5533</v>
      </c>
      <c r="AI460" t="s">
        <v>5532</v>
      </c>
      <c r="AJ460">
        <v>0.43609599999999998</v>
      </c>
      <c r="AK460">
        <v>2.2676400000000001</v>
      </c>
      <c r="AL460">
        <v>1.8315440000000001</v>
      </c>
      <c r="AM460">
        <v>16.117588000000001</v>
      </c>
      <c r="AN460" s="340">
        <f t="shared" si="147"/>
        <v>15.384969600000002</v>
      </c>
      <c r="AP460" s="339" t="s">
        <v>5531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5522</v>
      </c>
      <c r="O461" s="338" t="str">
        <f t="shared" si="138"/>
        <v>252/09:54</v>
      </c>
      <c r="P461" s="32" t="str">
        <f t="shared" si="139"/>
        <v>252_1</v>
      </c>
      <c r="Q461" s="59">
        <f>R460-1</f>
        <v>640424207.66914237</v>
      </c>
      <c r="R461" s="21">
        <f>W461/$V$32+Q461</f>
        <v>642104455.49892962</v>
      </c>
      <c r="S461" s="21">
        <f t="shared" si="140"/>
        <v>1680247.8297872543</v>
      </c>
      <c r="T461" s="21">
        <f>S461*$V$32</f>
        <v>925449.00000001118</v>
      </c>
      <c r="U461" s="3">
        <v>0</v>
      </c>
      <c r="V461" s="20">
        <f t="shared" si="148"/>
        <v>925449.00000001118</v>
      </c>
      <c r="W461" s="20">
        <f t="shared" si="141"/>
        <v>925449.00000000012</v>
      </c>
      <c r="X461" s="344">
        <f t="shared" si="142"/>
        <v>-1.1059455573558807E-8</v>
      </c>
      <c r="Y461" s="343"/>
      <c r="Z461" s="342"/>
      <c r="AA461" s="78">
        <f t="shared" si="143"/>
        <v>7.4035920000000006</v>
      </c>
      <c r="AC461" s="119">
        <f>AC460+AE461</f>
        <v>106.22122560000008</v>
      </c>
      <c r="AD461" s="3">
        <f t="shared" si="144"/>
        <v>-8.8475644588470464E-14</v>
      </c>
      <c r="AE461" s="3">
        <f t="shared" si="145"/>
        <v>7.4035920000000894</v>
      </c>
      <c r="AF461" s="341" t="str">
        <f t="shared" si="146"/>
        <v>TRK_252_1</v>
      </c>
      <c r="AG461" t="s">
        <v>5530</v>
      </c>
      <c r="AH461" t="s">
        <v>5529</v>
      </c>
      <c r="AI461" t="s">
        <v>5528</v>
      </c>
      <c r="AJ461">
        <v>0.21474299999999999</v>
      </c>
      <c r="AK461">
        <v>1.096123</v>
      </c>
      <c r="AL461">
        <v>0.88138000000000005</v>
      </c>
      <c r="AM461">
        <v>7.7561460000000002</v>
      </c>
      <c r="AN461" s="340">
        <f t="shared" si="147"/>
        <v>7.4035920000000006</v>
      </c>
      <c r="AP461" s="339" t="s">
        <v>5527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5522</v>
      </c>
      <c r="O462" s="338" t="str">
        <f t="shared" si="138"/>
        <v>253/00:44</v>
      </c>
      <c r="P462" s="32" t="str">
        <f t="shared" si="139"/>
        <v>253_1</v>
      </c>
      <c r="Q462" s="59">
        <f>R461-1</f>
        <v>642104454.49892962</v>
      </c>
      <c r="R462" s="21">
        <f>W462/$V$32+Q462</f>
        <v>644044582.36275935</v>
      </c>
      <c r="S462" s="21">
        <f t="shared" si="140"/>
        <v>1940127.8638297319</v>
      </c>
      <c r="T462" s="21">
        <f>S462*$V$32</f>
        <v>1068586.0499999695</v>
      </c>
      <c r="U462" s="3">
        <v>0</v>
      </c>
      <c r="V462" s="20">
        <f t="shared" si="148"/>
        <v>1068586.0499999695</v>
      </c>
      <c r="W462" s="20">
        <f t="shared" si="141"/>
        <v>1068586.05</v>
      </c>
      <c r="X462" s="344">
        <f t="shared" si="142"/>
        <v>3.0500814318656921E-8</v>
      </c>
      <c r="Y462" s="343"/>
      <c r="Z462" s="342"/>
      <c r="AA462" s="78">
        <f t="shared" si="143"/>
        <v>8.5486883999999996</v>
      </c>
      <c r="AC462" s="119">
        <f>AC461+AE462</f>
        <v>114.76991399999984</v>
      </c>
      <c r="AD462" s="3">
        <f t="shared" si="144"/>
        <v>2.440065145492554E-13</v>
      </c>
      <c r="AE462" s="3">
        <f t="shared" si="145"/>
        <v>8.5486883999997563</v>
      </c>
      <c r="AF462" s="341" t="str">
        <f t="shared" si="146"/>
        <v>TRK_253_1</v>
      </c>
      <c r="AG462" t="s">
        <v>5526</v>
      </c>
      <c r="AH462" t="s">
        <v>5525</v>
      </c>
      <c r="AI462" t="s">
        <v>5524</v>
      </c>
      <c r="AJ462">
        <v>0.21449499999999999</v>
      </c>
      <c r="AK462">
        <v>1.2321960000000001</v>
      </c>
      <c r="AL462">
        <v>1.017701</v>
      </c>
      <c r="AM462">
        <v>8.9557699999999993</v>
      </c>
      <c r="AN462" s="340">
        <f t="shared" si="147"/>
        <v>8.5486883999999996</v>
      </c>
      <c r="AP462" s="339" t="s">
        <v>5523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5522</v>
      </c>
      <c r="O463" s="338" t="str">
        <f t="shared" si="138"/>
        <v>253/11:14</v>
      </c>
      <c r="P463" s="32" t="str">
        <f t="shared" si="139"/>
        <v>253_2</v>
      </c>
      <c r="Q463" s="59">
        <f>R462-1</f>
        <v>644044581.36275935</v>
      </c>
      <c r="R463" s="177">
        <f>$Q$281+1</f>
        <v>644187672.24185646</v>
      </c>
      <c r="S463" s="21">
        <f t="shared" si="140"/>
        <v>143090.87909710407</v>
      </c>
      <c r="T463" s="21">
        <f>S463*$V$32</f>
        <v>78811.773252701852</v>
      </c>
      <c r="U463" s="3">
        <v>0</v>
      </c>
      <c r="V463" s="20">
        <f t="shared" si="148"/>
        <v>78811.773252701852</v>
      </c>
      <c r="W463" s="20">
        <f t="shared" si="141"/>
        <v>528262.35</v>
      </c>
      <c r="X463" s="344">
        <f t="shared" si="142"/>
        <v>449450.57674729812</v>
      </c>
      <c r="Y463" s="343"/>
      <c r="Z463" s="342"/>
      <c r="AA463" s="78">
        <f t="shared" si="143"/>
        <v>4.2260987999999999</v>
      </c>
      <c r="AC463" s="119">
        <f>AC462+AE463</f>
        <v>115.40040818602147</v>
      </c>
      <c r="AD463" s="3">
        <f t="shared" si="144"/>
        <v>3.5956046139783848</v>
      </c>
      <c r="AE463" s="3">
        <f t="shared" si="145"/>
        <v>0.63049418602161478</v>
      </c>
      <c r="AF463" s="341" t="str">
        <f t="shared" si="146"/>
        <v>TRK_253_2</v>
      </c>
      <c r="AG463" t="s">
        <v>5521</v>
      </c>
      <c r="AH463" t="s">
        <v>5520</v>
      </c>
      <c r="AI463" t="s">
        <v>5519</v>
      </c>
      <c r="AJ463">
        <v>0.205984</v>
      </c>
      <c r="AK463">
        <v>0.70909100000000003</v>
      </c>
      <c r="AL463">
        <v>0.50310699999999997</v>
      </c>
      <c r="AM463">
        <v>4.4273449999999999</v>
      </c>
      <c r="AN463" s="340">
        <f t="shared" si="147"/>
        <v>4.2260987999999999</v>
      </c>
      <c r="AP463" s="339" t="s">
        <v>5518</v>
      </c>
    </row>
    <row r="464" spans="3:42" ht="13.5" customHeight="1">
      <c r="C464" s="3">
        <v>104</v>
      </c>
      <c r="D464" s="3">
        <v>105</v>
      </c>
      <c r="G464" s="3" t="s">
        <v>50</v>
      </c>
      <c r="L464" s="79" t="str" cm="1">
        <f t="array" aca="1" ref="L464" ca="1">MID(met2utc(Q464),3,12)</f>
        <v>25-288/14:53</v>
      </c>
      <c r="M464" s="79" t="str" cm="1">
        <f t="array" aca="1" ref="M464" ca="1">MID(met2utc(R464),3,12)</f>
        <v>25-291/10:24</v>
      </c>
      <c r="N464" s="355" t="s">
        <v>5517</v>
      </c>
      <c r="O464" s="338">
        <f t="shared" si="138"/>
        <v>0</v>
      </c>
      <c r="P464" s="32" t="str">
        <f t="shared" si="139"/>
        <v/>
      </c>
      <c r="Q464" s="59">
        <f>R479-1</f>
        <v>622845950.93747675</v>
      </c>
      <c r="R464" s="21">
        <f>W464/$V$33+Q464</f>
        <v>623088976.83395278</v>
      </c>
      <c r="S464" s="21">
        <f t="shared" si="140"/>
        <v>243025.89647603035</v>
      </c>
      <c r="T464" s="21">
        <f>S464*$V$33</f>
        <v>1227318.7500002778</v>
      </c>
      <c r="U464" s="3">
        <v>0</v>
      </c>
      <c r="V464" s="20">
        <f t="shared" si="148"/>
        <v>1227318.7500002778</v>
      </c>
      <c r="W464" s="352">
        <f>X463+Y466</f>
        <v>1227318.7500000002</v>
      </c>
      <c r="X464" s="344">
        <f t="shared" si="142"/>
        <v>-2.775341272354126E-7</v>
      </c>
      <c r="Y464" s="343"/>
      <c r="Z464" s="342"/>
      <c r="AA464" s="78"/>
      <c r="AC464" s="119"/>
      <c r="AD464" s="3"/>
      <c r="AE464" s="3"/>
      <c r="AF464" s="341"/>
      <c r="AN464" s="340"/>
      <c r="AP464" s="339"/>
    </row>
    <row r="465" spans="3:42" ht="13.5" customHeight="1">
      <c r="C465" s="3"/>
      <c r="D465" s="3"/>
      <c r="G465" s="3"/>
      <c r="L465" s="79"/>
      <c r="M465" s="79"/>
      <c r="O465" s="338"/>
      <c r="P465" s="354" t="s">
        <v>403</v>
      </c>
      <c r="Q465" s="354" t="s">
        <v>404</v>
      </c>
      <c r="R465" s="354">
        <v>611744576</v>
      </c>
      <c r="S465" s="354">
        <v>7</v>
      </c>
      <c r="T465" s="354" t="s">
        <v>27</v>
      </c>
      <c r="U465" s="354" t="s">
        <v>405</v>
      </c>
      <c r="V465" s="354" t="s">
        <v>151</v>
      </c>
      <c r="W465" s="354" t="s">
        <v>152</v>
      </c>
      <c r="X465" s="354" t="s">
        <v>406</v>
      </c>
      <c r="Y465" s="343"/>
      <c r="Z465" s="342"/>
      <c r="AA465" s="78"/>
      <c r="AC465" s="119"/>
      <c r="AD465" s="3" t="e">
        <f>X465*8/1000000</f>
        <v>#VALUE!</v>
      </c>
      <c r="AE465" s="3" t="e">
        <f>V465*8/1000000</f>
        <v>#VALUE!</v>
      </c>
      <c r="AF465" s="341"/>
      <c r="AN465" s="340"/>
      <c r="AP465" s="339"/>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5516</v>
      </c>
      <c r="O466" s="338" t="str">
        <f>AG466</f>
        <v>253/18:53</v>
      </c>
      <c r="P466" s="32" t="str">
        <f>MID(AH466,5,5)</f>
        <v>253_3</v>
      </c>
      <c r="Q466" s="353">
        <f>R465-5</f>
        <v>611744571</v>
      </c>
      <c r="R466" s="353">
        <f>Q466+1685</f>
        <v>611746256</v>
      </c>
      <c r="S466" s="21">
        <f>R466-Q466</f>
        <v>1685</v>
      </c>
      <c r="T466" s="21">
        <f>$V$38</f>
        <v>197375</v>
      </c>
      <c r="U466" s="3">
        <v>0</v>
      </c>
      <c r="V466" s="20">
        <f>T466+U466*$V$34</f>
        <v>197375</v>
      </c>
      <c r="W466" s="352">
        <f>X463</f>
        <v>449450.57674729812</v>
      </c>
      <c r="X466" s="344">
        <f>W466-V466</f>
        <v>252075.57674729812</v>
      </c>
      <c r="Y466" s="343">
        <f>Z466-W466</f>
        <v>777868.17325270211</v>
      </c>
      <c r="Z466" s="342">
        <f>AA466*1000000/8</f>
        <v>1227318.7500000002</v>
      </c>
      <c r="AA466" s="78">
        <f>AN466</f>
        <v>9.8185500000000019</v>
      </c>
      <c r="AB466">
        <f>W466*8/1000000</f>
        <v>3.5956046139783848</v>
      </c>
      <c r="AC466" s="119">
        <f>AC463+AE466</f>
        <v>116.97940818602146</v>
      </c>
      <c r="AD466" s="3">
        <f>X466*8/1000000</f>
        <v>2.0166046139783851</v>
      </c>
      <c r="AE466" s="3">
        <f>V466*8/1000000</f>
        <v>1.579</v>
      </c>
      <c r="AF466" s="341" t="str">
        <f>AH466</f>
        <v>TRK_253_3</v>
      </c>
      <c r="AG466" t="s">
        <v>5515</v>
      </c>
      <c r="AH466" t="s">
        <v>5514</v>
      </c>
      <c r="AI466" t="s">
        <v>5513</v>
      </c>
      <c r="AJ466">
        <v>0.18677099999999999</v>
      </c>
      <c r="AK466">
        <v>1.3556459999999999</v>
      </c>
      <c r="AL466">
        <v>1.1688750000000001</v>
      </c>
      <c r="AM466">
        <v>10.286102</v>
      </c>
      <c r="AN466" s="340">
        <f>AL466*8*1.05</f>
        <v>9.8185500000000019</v>
      </c>
      <c r="AP466" s="339" t="s">
        <v>5512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5511</v>
      </c>
      <c r="O467" s="338">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52">
        <f>X466</f>
        <v>252075.57674729812</v>
      </c>
      <c r="X467" s="344">
        <f>W467-V467</f>
        <v>1.3853423297405243E-8</v>
      </c>
      <c r="Y467" s="343"/>
      <c r="Z467" s="342"/>
      <c r="AA467" s="78"/>
      <c r="AC467" s="119"/>
      <c r="AD467" s="3">
        <f>X467*8/1000000</f>
        <v>1.1082738637924195E-13</v>
      </c>
      <c r="AE467" s="3">
        <f>V467*8/1000000</f>
        <v>2.0166046139782741</v>
      </c>
      <c r="AF467" s="341"/>
      <c r="AN467" s="340"/>
      <c r="AP467" s="339"/>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5511</v>
      </c>
      <c r="O468" s="338" t="str">
        <f>AG468</f>
        <v>255/00:23</v>
      </c>
      <c r="P468" s="32" t="str">
        <f>MID(AH468,5,5)</f>
        <v>255_1</v>
      </c>
      <c r="Q468" s="59">
        <f>R467-1</f>
        <v>612432757.69837558</v>
      </c>
      <c r="R468" s="353">
        <f>$R$166</f>
        <v>613555316</v>
      </c>
      <c r="S468" s="21">
        <f>R468-Q468</f>
        <v>1122558.3016244173</v>
      </c>
      <c r="T468" s="21">
        <f>S468*$V$26</f>
        <v>412189.37637771573</v>
      </c>
      <c r="U468" s="3">
        <v>0</v>
      </c>
      <c r="V468" s="20">
        <f>T468+U468*$V$34</f>
        <v>412189.37637771573</v>
      </c>
      <c r="W468" s="20">
        <f>AA468*1000000/8</f>
        <v>1254691.2000000002</v>
      </c>
      <c r="X468" s="344">
        <f>W468-V468</f>
        <v>842501.82362228446</v>
      </c>
      <c r="Y468" s="343"/>
      <c r="Z468" s="342"/>
      <c r="AA468" s="78">
        <f>AN468</f>
        <v>10.037529600000001</v>
      </c>
      <c r="AC468" s="119">
        <f>AC466+AE468</f>
        <v>120.27692319704319</v>
      </c>
      <c r="AD468" s="3">
        <f>X468*8/1000000</f>
        <v>6.7400145889782754</v>
      </c>
      <c r="AE468" s="3">
        <f>V468*8/1000000</f>
        <v>3.297515011021726</v>
      </c>
      <c r="AF468" s="341" t="str">
        <f>AH468</f>
        <v>TRK_255_1_</v>
      </c>
      <c r="AG468" t="s">
        <v>5510</v>
      </c>
      <c r="AH468" t="s">
        <v>5509</v>
      </c>
      <c r="AI468" t="s">
        <v>5508</v>
      </c>
      <c r="AJ468">
        <v>0.49954100000000001</v>
      </c>
      <c r="AK468">
        <v>1.694485</v>
      </c>
      <c r="AL468">
        <v>1.194944</v>
      </c>
      <c r="AM468">
        <v>10.515509</v>
      </c>
      <c r="AN468" s="340">
        <f>AL468*8*1.05</f>
        <v>10.037529600000001</v>
      </c>
      <c r="AP468" s="339" t="s">
        <v>5507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5506</v>
      </c>
      <c r="O469" s="338"/>
      <c r="P469" s="32"/>
      <c r="Q469" s="353">
        <f>R270-5</f>
        <v>644923310</v>
      </c>
      <c r="R469" s="21">
        <f>W469/$V$23+Q469</f>
        <v>646452958.70104468</v>
      </c>
      <c r="S469" s="21">
        <f>R469-Q469</f>
        <v>1529648.7010446787</v>
      </c>
      <c r="T469" s="21">
        <f>S469*$V$23</f>
        <v>842501.82362226443</v>
      </c>
      <c r="U469" s="3">
        <v>0</v>
      </c>
      <c r="V469" s="20">
        <f>T469+U469*$V$34</f>
        <v>842501.82362226443</v>
      </c>
      <c r="W469" s="352">
        <f>X468</f>
        <v>842501.82362228446</v>
      </c>
      <c r="X469" s="344">
        <f>W469-V469</f>
        <v>2.0023435354232788E-8</v>
      </c>
      <c r="Y469" s="343"/>
      <c r="Z469" s="342"/>
      <c r="AA469" s="78"/>
      <c r="AC469" s="119"/>
      <c r="AD469" s="3"/>
      <c r="AE469" s="3"/>
      <c r="AF469" s="341"/>
      <c r="AN469" s="340"/>
      <c r="AP469" s="339"/>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5506</v>
      </c>
      <c r="O470" s="338" t="str">
        <f>AG470</f>
        <v>256/00:53</v>
      </c>
      <c r="P470" s="32" t="str">
        <f>MID(AH470,5,5)</f>
        <v>256_1</v>
      </c>
      <c r="Q470" s="59">
        <f>R469-1</f>
        <v>646452957.70104468</v>
      </c>
      <c r="R470" s="353">
        <f>$Q$378+1</f>
        <v>646884111</v>
      </c>
      <c r="S470" s="21">
        <f>R470-Q470</f>
        <v>431153.29895532131</v>
      </c>
      <c r="T470" s="21">
        <f>S470*$V$23</f>
        <v>237471.15294023557</v>
      </c>
      <c r="U470" s="3">
        <v>0</v>
      </c>
      <c r="V470" s="20">
        <f>T470+U470*$V$34</f>
        <v>237471.15294023557</v>
      </c>
      <c r="W470" s="20">
        <f>AA470*1000000/8</f>
        <v>1026811.7999999999</v>
      </c>
      <c r="X470" s="344">
        <f>W470-V470</f>
        <v>789340.64705976436</v>
      </c>
      <c r="Y470" s="343"/>
      <c r="Z470" s="342"/>
      <c r="AA470" s="78">
        <f>AN470</f>
        <v>8.2144943999999995</v>
      </c>
      <c r="AC470" s="119">
        <f>AC468+AE470</f>
        <v>122.17669242056508</v>
      </c>
      <c r="AD470" s="3">
        <f>X470*8/1000000</f>
        <v>6.3147251764781149</v>
      </c>
      <c r="AE470" s="3">
        <f>V470*8/1000000</f>
        <v>1.8997692235218846</v>
      </c>
      <c r="AF470" s="341" t="str">
        <f>AH470</f>
        <v>TRK_256_1</v>
      </c>
      <c r="AG470" t="s">
        <v>5505</v>
      </c>
      <c r="AH470" t="s">
        <v>5504</v>
      </c>
      <c r="AI470" t="s">
        <v>5503</v>
      </c>
      <c r="AJ470">
        <v>0.301508</v>
      </c>
      <c r="AK470">
        <v>1.2794239999999999</v>
      </c>
      <c r="AL470">
        <v>0.97791600000000001</v>
      </c>
      <c r="AM470">
        <v>8.605658</v>
      </c>
      <c r="AN470" s="340">
        <f>AL470*8*1.05</f>
        <v>8.2144943999999995</v>
      </c>
      <c r="AP470" s="339" t="s">
        <v>5502</v>
      </c>
    </row>
    <row r="471" spans="3:42" ht="13.5" customHeight="1">
      <c r="C471" s="3"/>
      <c r="D471" s="3"/>
      <c r="G471" s="3"/>
      <c r="L471" s="79"/>
      <c r="M471" s="79"/>
      <c r="O471" s="338"/>
      <c r="P471" s="320" t="s">
        <v>5501</v>
      </c>
      <c r="Q471" s="320">
        <v>621555962</v>
      </c>
      <c r="R471" s="320">
        <v>0</v>
      </c>
      <c r="S471" s="320" t="s">
        <v>409</v>
      </c>
      <c r="T471" s="320" t="s">
        <v>1043</v>
      </c>
      <c r="U471" s="320" t="s">
        <v>416</v>
      </c>
      <c r="V471" s="320" t="s">
        <v>417</v>
      </c>
      <c r="W471" s="20"/>
      <c r="X471" s="344"/>
      <c r="Y471" s="343"/>
      <c r="Z471" s="342"/>
      <c r="AA471" s="78"/>
      <c r="AC471" s="119"/>
      <c r="AD471" s="3"/>
      <c r="AE471" s="3"/>
      <c r="AF471" s="341"/>
      <c r="AN471" s="340"/>
      <c r="AP471" s="339"/>
    </row>
    <row r="472" spans="3:42" ht="13.5" customHeight="1">
      <c r="C472" s="3">
        <v>104</v>
      </c>
      <c r="D472" s="3">
        <v>105</v>
      </c>
      <c r="G472" s="3" t="s">
        <v>50</v>
      </c>
      <c r="L472" s="79" t="str" cm="1">
        <f t="array" aca="1" ref="L472" ca="1">MID(met2utc(Q472),3,12)</f>
        <v>25-273/16:34</v>
      </c>
      <c r="M472" s="79" t="str" cm="1">
        <f t="array" aca="1" ref="M472" ca="1">MID(met2utc(R472),3,12)</f>
        <v>25-275/11:59</v>
      </c>
      <c r="N472" t="s">
        <v>5476</v>
      </c>
      <c r="O472" s="338"/>
      <c r="P472" s="32"/>
      <c r="Q472" s="353">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52">
        <f>X470</f>
        <v>789340.64705976436</v>
      </c>
      <c r="X472" s="344">
        <f t="shared" ref="X472:X483" si="153">W472-V472</f>
        <v>1.8242280930280685E-7</v>
      </c>
      <c r="Y472" s="343"/>
      <c r="Z472" s="342"/>
      <c r="AA472" s="78"/>
      <c r="AC472" s="119"/>
      <c r="AD472" s="3"/>
      <c r="AE472" s="3"/>
      <c r="AF472" s="341"/>
      <c r="AN472" s="340"/>
      <c r="AP472" s="339"/>
    </row>
    <row r="473" spans="3:42" ht="13.5" customHeight="1">
      <c r="C473" s="3">
        <v>104</v>
      </c>
      <c r="D473" s="3">
        <v>105</v>
      </c>
      <c r="G473" s="3" t="s">
        <v>50</v>
      </c>
      <c r="L473" s="79" t="str" cm="1">
        <f t="array" aca="1" ref="L473" ca="1">MID(met2utc(Q473),3,12)</f>
        <v>25-275/11:59</v>
      </c>
      <c r="M473" s="79" t="str" cm="1">
        <f t="array" aca="1" ref="M473" ca="1">MID(met2utc(R473),3,12)</f>
        <v>25-277/01:06</v>
      </c>
      <c r="N473" t="s">
        <v>5476</v>
      </c>
      <c r="O473" s="338" t="str">
        <f t="shared" ref="O473:O480" si="154">AG473</f>
        <v>256/10:08</v>
      </c>
      <c r="P473" s="32" t="str">
        <f t="shared" ref="P473:P480" si="155">MID(AH473,5,5)</f>
        <v>256_2</v>
      </c>
      <c r="Q473" s="59">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44">
        <f t="shared" si="153"/>
        <v>-2.6659108698368073E-8</v>
      </c>
      <c r="Y473" s="343"/>
      <c r="Z473" s="342"/>
      <c r="AA473" s="78">
        <f t="shared" ref="AA473:AA480" si="158">AN473</f>
        <v>5.3997384000000004</v>
      </c>
      <c r="AC473" s="119">
        <f>AC470+AE473</f>
        <v>127.57643082056529</v>
      </c>
      <c r="AD473" s="3">
        <f t="shared" ref="AD473:AD480" si="159">X473*8/1000000</f>
        <v>-2.1327286958694459E-13</v>
      </c>
      <c r="AE473" s="3">
        <f t="shared" ref="AE473:AE480" si="160">V473*8/1000000</f>
        <v>5.3997384000002135</v>
      </c>
      <c r="AF473" s="341" t="str">
        <f t="shared" ref="AF473:AF480" si="161">AH473</f>
        <v>TRK_256_2</v>
      </c>
      <c r="AG473" t="s">
        <v>5500</v>
      </c>
      <c r="AH473" t="s">
        <v>5499</v>
      </c>
      <c r="AI473" t="s">
        <v>5498</v>
      </c>
      <c r="AJ473">
        <v>0.30713200000000002</v>
      </c>
      <c r="AK473">
        <v>0.94995799999999997</v>
      </c>
      <c r="AL473">
        <v>0.64282600000000001</v>
      </c>
      <c r="AM473">
        <v>5.6568680000000002</v>
      </c>
      <c r="AN473" s="340">
        <f t="shared" ref="AN473:AN480" si="162">AL473*8*1.05</f>
        <v>5.3997384000000004</v>
      </c>
      <c r="AP473" s="339" t="s">
        <v>5497</v>
      </c>
    </row>
    <row r="474" spans="3:42" ht="13.5" customHeight="1">
      <c r="C474" s="3">
        <v>104</v>
      </c>
      <c r="D474" s="3">
        <v>105</v>
      </c>
      <c r="G474" s="3" t="s">
        <v>50</v>
      </c>
      <c r="L474" s="79" t="str" cm="1">
        <f t="array" aca="1" ref="L474" ca="1">MID(met2utc(Q474),3,12)</f>
        <v>25-277/01:06</v>
      </c>
      <c r="M474" s="79" t="str" cm="1">
        <f t="array" aca="1" ref="M474" ca="1">MID(met2utc(R474),3,12)</f>
        <v>25-278/12:58</v>
      </c>
      <c r="N474" t="s">
        <v>5476</v>
      </c>
      <c r="O474" s="338" t="str">
        <f t="shared" si="154"/>
        <v>256/18:43</v>
      </c>
      <c r="P474" s="32" t="str">
        <f t="shared" si="155"/>
        <v>256_3</v>
      </c>
      <c r="Q474" s="59">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44">
        <f t="shared" si="153"/>
        <v>-1.7927959561347961E-8</v>
      </c>
      <c r="Y474" s="343"/>
      <c r="Z474" s="342"/>
      <c r="AA474" s="78">
        <f t="shared" si="158"/>
        <v>5.2174415999999999</v>
      </c>
      <c r="AC474" s="119">
        <f>AC473+AE474</f>
        <v>132.79387242056544</v>
      </c>
      <c r="AD474" s="3">
        <f t="shared" si="159"/>
        <v>-1.4342367649078369E-13</v>
      </c>
      <c r="AE474" s="3">
        <f t="shared" si="160"/>
        <v>5.2174416000001429</v>
      </c>
      <c r="AF474" s="341" t="str">
        <f t="shared" si="161"/>
        <v>TRK_256_3</v>
      </c>
      <c r="AG474" t="s">
        <v>5496</v>
      </c>
      <c r="AH474" t="s">
        <v>5495</v>
      </c>
      <c r="AI474" t="s">
        <v>5494</v>
      </c>
      <c r="AJ474">
        <v>0.19022</v>
      </c>
      <c r="AK474">
        <v>0.81134399999999995</v>
      </c>
      <c r="AL474">
        <v>0.62112400000000001</v>
      </c>
      <c r="AM474">
        <v>5.4658920000000002</v>
      </c>
      <c r="AN474" s="340">
        <f t="shared" si="162"/>
        <v>5.2174415999999999</v>
      </c>
      <c r="AP474" s="339" t="s">
        <v>5493</v>
      </c>
    </row>
    <row r="475" spans="3:42" ht="13.5" customHeight="1">
      <c r="C475" s="3">
        <v>104</v>
      </c>
      <c r="D475" s="3">
        <v>105</v>
      </c>
      <c r="G475" s="3" t="s">
        <v>50</v>
      </c>
      <c r="L475" s="79" t="str" cm="1">
        <f t="array" aca="1" ref="L475" ca="1">MID(met2utc(Q475),3,12)</f>
        <v>25-278/12:58</v>
      </c>
      <c r="M475" s="79" t="str" cm="1">
        <f t="array" aca="1" ref="M475" ca="1">MID(met2utc(R475),3,12)</f>
        <v>25-280/08:13</v>
      </c>
      <c r="N475" t="s">
        <v>5476</v>
      </c>
      <c r="O475" s="338" t="str">
        <f t="shared" si="154"/>
        <v>257/09:58</v>
      </c>
      <c r="P475" s="32" t="str">
        <f t="shared" si="155"/>
        <v>257_1</v>
      </c>
      <c r="Q475" s="59">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44">
        <f t="shared" si="153"/>
        <v>0</v>
      </c>
      <c r="Y475" s="343"/>
      <c r="Z475" s="342"/>
      <c r="AA475" s="78">
        <f t="shared" si="158"/>
        <v>6.2906676000000008</v>
      </c>
      <c r="AC475" s="119">
        <f>AC474+AE475</f>
        <v>139.08454002056544</v>
      </c>
      <c r="AD475" s="3">
        <f t="shared" si="159"/>
        <v>0</v>
      </c>
      <c r="AE475" s="3">
        <f t="shared" si="160"/>
        <v>6.2906676000000035</v>
      </c>
      <c r="AF475" s="341" t="str">
        <f t="shared" si="161"/>
        <v>TRK_257_1</v>
      </c>
      <c r="AG475" t="s">
        <v>5492</v>
      </c>
      <c r="AH475" t="s">
        <v>5491</v>
      </c>
      <c r="AI475" t="s">
        <v>5490</v>
      </c>
      <c r="AJ475">
        <v>0.241893</v>
      </c>
      <c r="AK475">
        <v>0.99078200000000005</v>
      </c>
      <c r="AL475">
        <v>0.74888900000000003</v>
      </c>
      <c r="AM475">
        <v>6.5902269999999996</v>
      </c>
      <c r="AN475" s="340">
        <f t="shared" si="162"/>
        <v>6.2906676000000008</v>
      </c>
      <c r="AP475" s="339" t="s">
        <v>5489</v>
      </c>
    </row>
    <row r="476" spans="3:42" ht="13.5" customHeight="1">
      <c r="C476" s="3">
        <v>104</v>
      </c>
      <c r="D476" s="3">
        <v>105</v>
      </c>
      <c r="G476" s="3" t="s">
        <v>50</v>
      </c>
      <c r="L476" s="79" t="str" cm="1">
        <f t="array" aca="1" ref="L476" ca="1">MID(met2utc(Q476),3,12)</f>
        <v>25-280/08:13</v>
      </c>
      <c r="M476" s="79" t="str" cm="1">
        <f t="array" aca="1" ref="M476" ca="1">MID(met2utc(R476),3,12)</f>
        <v>25-280/23:41</v>
      </c>
      <c r="N476" t="s">
        <v>5476</v>
      </c>
      <c r="O476" s="338" t="str">
        <f t="shared" si="154"/>
        <v>258/10:53</v>
      </c>
      <c r="P476" s="32" t="str">
        <f t="shared" si="155"/>
        <v>258_1</v>
      </c>
      <c r="Q476" s="59">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44">
        <f t="shared" si="153"/>
        <v>-1.5867408365011215E-7</v>
      </c>
      <c r="Y476" s="343"/>
      <c r="Z476" s="342"/>
      <c r="AA476" s="78">
        <f t="shared" si="158"/>
        <v>2.2477644000000003</v>
      </c>
      <c r="AC476" s="119">
        <f>AC475+AE476</f>
        <v>141.33230442056671</v>
      </c>
      <c r="AD476" s="3">
        <f t="shared" si="159"/>
        <v>-1.2693926692008973E-12</v>
      </c>
      <c r="AE476" s="3">
        <f t="shared" si="160"/>
        <v>2.24776440000127</v>
      </c>
      <c r="AF476" s="341" t="str">
        <f t="shared" si="161"/>
        <v>TRK_258_1_</v>
      </c>
      <c r="AG476" t="s">
        <v>5488</v>
      </c>
      <c r="AH476" t="s">
        <v>5487</v>
      </c>
      <c r="AI476" t="s">
        <v>5486</v>
      </c>
      <c r="AJ476">
        <v>0.45894099999999999</v>
      </c>
      <c r="AK476">
        <v>0.72653199999999996</v>
      </c>
      <c r="AL476">
        <v>0.26759100000000002</v>
      </c>
      <c r="AM476">
        <v>2.3547989999999999</v>
      </c>
      <c r="AN476" s="340">
        <f t="shared" si="162"/>
        <v>2.2477644000000003</v>
      </c>
      <c r="AP476" s="339" t="s">
        <v>5485</v>
      </c>
    </row>
    <row r="477" spans="3:42" ht="13.5" customHeight="1">
      <c r="C477" s="3">
        <v>104</v>
      </c>
      <c r="D477" s="3">
        <v>105</v>
      </c>
      <c r="G477" s="3" t="s">
        <v>50</v>
      </c>
      <c r="L477" s="79" t="str" cm="1">
        <f t="array" aca="1" ref="L477" ca="1">MID(met2utc(Q477),3,12)</f>
        <v>25-280/23:41</v>
      </c>
      <c r="M477" s="79" t="str" cm="1">
        <f t="array" aca="1" ref="M477" ca="1">MID(met2utc(R477),3,12)</f>
        <v>25-285/03:37</v>
      </c>
      <c r="N477" t="s">
        <v>5476</v>
      </c>
      <c r="O477" s="338" t="str">
        <f t="shared" si="154"/>
        <v>258/20:07</v>
      </c>
      <c r="P477" s="32" t="str">
        <f t="shared" si="155"/>
        <v>258_2</v>
      </c>
      <c r="Q477" s="59">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44">
        <f t="shared" si="153"/>
        <v>-2.0605511963367462E-7</v>
      </c>
      <c r="Y477" s="343"/>
      <c r="Z477" s="342"/>
      <c r="AA477" s="78">
        <f t="shared" si="158"/>
        <v>14.5352172</v>
      </c>
      <c r="AC477" s="119">
        <f>AC476+AE477</f>
        <v>155.86752162056837</v>
      </c>
      <c r="AD477" s="3">
        <f t="shared" si="159"/>
        <v>-1.6484409570693971E-12</v>
      </c>
      <c r="AE477" s="3">
        <f t="shared" si="160"/>
        <v>14.535217200001648</v>
      </c>
      <c r="AF477" s="341" t="str">
        <f t="shared" si="161"/>
        <v>TRK_258_2</v>
      </c>
      <c r="AG477" t="s">
        <v>5484</v>
      </c>
      <c r="AH477" t="s">
        <v>5483</v>
      </c>
      <c r="AI477" t="s">
        <v>5482</v>
      </c>
      <c r="AJ477">
        <v>0.198909</v>
      </c>
      <c r="AK477">
        <v>1.929292</v>
      </c>
      <c r="AL477">
        <v>1.730383</v>
      </c>
      <c r="AM477">
        <v>15.227372000000001</v>
      </c>
      <c r="AN477" s="340">
        <f t="shared" si="162"/>
        <v>14.5352172</v>
      </c>
      <c r="AP477" s="339" t="s">
        <v>5481</v>
      </c>
    </row>
    <row r="478" spans="3:42" ht="13.5" customHeight="1">
      <c r="C478" s="3">
        <v>104</v>
      </c>
      <c r="D478" s="3">
        <v>105</v>
      </c>
      <c r="G478" s="3" t="s">
        <v>50</v>
      </c>
      <c r="L478" s="79" t="str" cm="1">
        <f t="array" aca="1" ref="L478" ca="1">MID(met2utc(Q478),3,12)</f>
        <v>25-285/03:37</v>
      </c>
      <c r="M478" s="79" t="str" cm="1">
        <f t="array" aca="1" ref="M478" ca="1">MID(met2utc(R478),3,12)</f>
        <v>25-286/01:17</v>
      </c>
      <c r="N478" t="s">
        <v>5476</v>
      </c>
      <c r="O478" s="338" t="str">
        <f t="shared" si="154"/>
        <v>259/10:52</v>
      </c>
      <c r="P478" s="32" t="str">
        <f t="shared" si="155"/>
        <v>259_1</v>
      </c>
      <c r="Q478" s="59">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44">
        <f t="shared" si="153"/>
        <v>-2.9284274205565453E-7</v>
      </c>
      <c r="Y478" s="343"/>
      <c r="Z478" s="342"/>
      <c r="AA478" s="78">
        <f t="shared" si="158"/>
        <v>3.1511172000000003</v>
      </c>
      <c r="AC478" s="119">
        <f>AC476+AE478</f>
        <v>144.48342162056906</v>
      </c>
      <c r="AD478" s="3">
        <f t="shared" si="159"/>
        <v>-2.3427419364452362E-12</v>
      </c>
      <c r="AE478" s="3">
        <f t="shared" si="160"/>
        <v>3.1511172000023429</v>
      </c>
      <c r="AF478" s="341" t="str">
        <f t="shared" si="161"/>
        <v>TRK_259_1</v>
      </c>
      <c r="AG478" t="s">
        <v>5480</v>
      </c>
      <c r="AH478" t="s">
        <v>5479</v>
      </c>
      <c r="AI478" t="s">
        <v>5478</v>
      </c>
      <c r="AJ478">
        <v>0.22928699999999999</v>
      </c>
      <c r="AK478">
        <v>0.60441999999999996</v>
      </c>
      <c r="AL478">
        <v>0.37513299999999999</v>
      </c>
      <c r="AM478">
        <v>3.3011680000000001</v>
      </c>
      <c r="AN478" s="340">
        <f t="shared" si="162"/>
        <v>3.1511172000000003</v>
      </c>
      <c r="AP478" s="339" t="s">
        <v>5477</v>
      </c>
    </row>
    <row r="479" spans="3:42" ht="13.5" customHeight="1">
      <c r="C479" s="3">
        <v>104</v>
      </c>
      <c r="D479" s="3">
        <v>105</v>
      </c>
      <c r="G479" s="3" t="s">
        <v>50</v>
      </c>
      <c r="L479" s="79" t="str" cm="1">
        <f t="array" aca="1" ref="L479" ca="1">MID(met2utc(Q479),3,12)</f>
        <v>25-286/01:17</v>
      </c>
      <c r="M479" s="79" t="str" cm="1">
        <f t="array" aca="1" ref="M479" ca="1">MID(met2utc(R479),3,12)</f>
        <v>25-288/14:53</v>
      </c>
      <c r="N479" t="s">
        <v>5476</v>
      </c>
      <c r="O479" s="338" t="str">
        <f t="shared" si="154"/>
        <v>261/00:32</v>
      </c>
      <c r="P479" s="32" t="str">
        <f t="shared" si="155"/>
        <v>261_1</v>
      </c>
      <c r="Q479" s="59">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44">
        <f t="shared" si="153"/>
        <v>-5.5413693189620972E-8</v>
      </c>
      <c r="Y479" s="343"/>
      <c r="Z479" s="342"/>
      <c r="AA479" s="78">
        <f t="shared" si="158"/>
        <v>8.9610192000000009</v>
      </c>
      <c r="AC479" s="119">
        <f>AC477+AE479</f>
        <v>164.8285408205688</v>
      </c>
      <c r="AD479" s="3">
        <f t="shared" si="159"/>
        <v>-4.433095455169678E-13</v>
      </c>
      <c r="AE479" s="3">
        <f t="shared" si="160"/>
        <v>8.9610192000004449</v>
      </c>
      <c r="AF479" s="341" t="str">
        <f t="shared" si="161"/>
        <v>TRK_261_1_</v>
      </c>
      <c r="AG479" t="s">
        <v>5475</v>
      </c>
      <c r="AH479" t="s">
        <v>5474</v>
      </c>
      <c r="AI479" t="s">
        <v>5473</v>
      </c>
      <c r="AJ479">
        <v>0.53908</v>
      </c>
      <c r="AK479">
        <v>1.6058680000000001</v>
      </c>
      <c r="AL479">
        <v>1.0667880000000001</v>
      </c>
      <c r="AM479">
        <v>9.3877330000000008</v>
      </c>
      <c r="AN479" s="340">
        <f t="shared" si="162"/>
        <v>8.9610192000000009</v>
      </c>
      <c r="AP479" s="339" t="s">
        <v>5472</v>
      </c>
    </row>
    <row r="480" spans="3:42" ht="13.5" customHeight="1">
      <c r="N480" s="298" t="s">
        <v>5467</v>
      </c>
      <c r="O480" s="338" t="str">
        <f t="shared" si="154"/>
        <v>261/23:22</v>
      </c>
      <c r="P480" s="32" t="str">
        <f t="shared" si="155"/>
        <v>261_3</v>
      </c>
      <c r="Q480" s="351">
        <f>R435-1</f>
        <v>645953884</v>
      </c>
      <c r="R480" s="350">
        <f>Z487</f>
        <v>645954474.13390243</v>
      </c>
      <c r="S480" s="191"/>
      <c r="T480" s="191"/>
      <c r="U480" s="349"/>
      <c r="V480" s="348">
        <f>V487</f>
        <v>2347763.7749999999</v>
      </c>
      <c r="W480" s="20">
        <f t="shared" si="157"/>
        <v>4695527.55</v>
      </c>
      <c r="X480" s="344">
        <f t="shared" si="153"/>
        <v>2347763.7749999999</v>
      </c>
      <c r="Y480" s="343"/>
      <c r="Z480" s="347">
        <f>AE480</f>
        <v>18.782110199999998</v>
      </c>
      <c r="AA480" s="78">
        <f t="shared" si="158"/>
        <v>37.564220399999996</v>
      </c>
      <c r="AC480" s="119">
        <f>AC479+AE480</f>
        <v>183.61065102056881</v>
      </c>
      <c r="AD480" s="3">
        <f t="shared" si="159"/>
        <v>18.782110199999998</v>
      </c>
      <c r="AE480" s="3">
        <f t="shared" si="160"/>
        <v>18.782110199999998</v>
      </c>
      <c r="AF480" s="341" t="str">
        <f t="shared" si="161"/>
        <v>TRK_261_3</v>
      </c>
      <c r="AG480" t="s">
        <v>5471</v>
      </c>
      <c r="AH480" t="s">
        <v>5470</v>
      </c>
      <c r="AI480" t="s">
        <v>5469</v>
      </c>
      <c r="AJ480">
        <v>0.29404599999999997</v>
      </c>
      <c r="AK480">
        <v>4.7659770000000004</v>
      </c>
      <c r="AL480">
        <v>4.4719309999999997</v>
      </c>
      <c r="AM480">
        <v>39.352995</v>
      </c>
      <c r="AN480" s="340">
        <f t="shared" si="162"/>
        <v>37.564220399999996</v>
      </c>
      <c r="AP480" s="339" t="s">
        <v>5468</v>
      </c>
    </row>
    <row r="481" spans="10:42" ht="13.5" customHeight="1">
      <c r="N481" s="298" t="s">
        <v>5467</v>
      </c>
      <c r="O481" s="338"/>
      <c r="P481" s="32"/>
      <c r="Q481" s="351">
        <f>Q488</f>
        <v>645954473.13390243</v>
      </c>
      <c r="R481" s="350">
        <f>Z488</f>
        <v>645955063.86945069</v>
      </c>
      <c r="S481" s="191"/>
      <c r="T481" s="191"/>
      <c r="U481" s="349"/>
      <c r="V481" s="348">
        <f>V488</f>
        <v>2347763.7749999999</v>
      </c>
      <c r="W481" s="352">
        <f>X480</f>
        <v>2347763.7749999999</v>
      </c>
      <c r="X481" s="344">
        <f t="shared" si="153"/>
        <v>0</v>
      </c>
      <c r="Y481" s="343"/>
      <c r="Z481" s="347"/>
      <c r="AA481" s="78"/>
      <c r="AC481" s="119"/>
      <c r="AD481" s="3"/>
      <c r="AE481" s="3"/>
      <c r="AF481" s="341"/>
      <c r="AN481" s="340"/>
      <c r="AP481" s="339"/>
    </row>
    <row r="482" spans="10:42" ht="13.5" customHeight="1">
      <c r="N482" s="298" t="s">
        <v>5467</v>
      </c>
      <c r="O482" s="338" t="str">
        <f>AG482</f>
        <v>263/08:07</v>
      </c>
      <c r="P482" s="32" t="str">
        <f>MID(AH482,5,5)</f>
        <v>263_1</v>
      </c>
      <c r="Q482" s="351">
        <f>Q489</f>
        <v>645955062.86945069</v>
      </c>
      <c r="R482" s="350">
        <f>Z489</f>
        <v>645955295.29034281</v>
      </c>
      <c r="S482" s="191"/>
      <c r="T482" s="191"/>
      <c r="U482" s="349"/>
      <c r="V482" s="348">
        <f>V489</f>
        <v>921356.1</v>
      </c>
      <c r="W482" s="20">
        <f>AA482*1000000/8</f>
        <v>921356.1</v>
      </c>
      <c r="X482" s="344">
        <f t="shared" si="153"/>
        <v>0</v>
      </c>
      <c r="Y482" s="343"/>
      <c r="Z482" s="347">
        <f>AA482</f>
        <v>7.3708488000000001</v>
      </c>
      <c r="AA482" s="78">
        <f>AN482</f>
        <v>7.3708488000000001</v>
      </c>
      <c r="AC482" s="119">
        <f>AC480+AE482</f>
        <v>190.98149982056881</v>
      </c>
      <c r="AD482" s="3">
        <f>X482*8/1000000</f>
        <v>0</v>
      </c>
      <c r="AE482" s="3">
        <f>V482*8/1000000</f>
        <v>7.3708488000000001</v>
      </c>
      <c r="AF482" s="341" t="str">
        <f>AH482</f>
        <v>TRK_263_1</v>
      </c>
      <c r="AG482" t="s">
        <v>5466</v>
      </c>
      <c r="AH482" t="s">
        <v>5465</v>
      </c>
      <c r="AI482" t="s">
        <v>5464</v>
      </c>
      <c r="AJ482">
        <v>0.28040999999999999</v>
      </c>
      <c r="AK482">
        <v>1.1578919999999999</v>
      </c>
      <c r="AL482">
        <v>0.87748199999999998</v>
      </c>
      <c r="AM482">
        <v>7.7218369999999998</v>
      </c>
      <c r="AN482" s="340">
        <f>AL482*8*1.05</f>
        <v>7.3708488000000001</v>
      </c>
      <c r="AP482" s="339" t="s">
        <v>5463</v>
      </c>
    </row>
    <row r="483" spans="10:42" ht="13.5" customHeight="1">
      <c r="J483" t="s">
        <v>228</v>
      </c>
      <c r="K483" t="s">
        <v>825</v>
      </c>
      <c r="L483" s="95" t="str" cm="1">
        <f t="array" aca="1" ref="L483" ca="1">MID(met2utc(Q483),3,12)</f>
        <v>26-248/00:37</v>
      </c>
      <c r="M483" s="95" t="str" cm="1">
        <f t="array" aca="1" ref="M483" ca="1">MID(met2utc(R483),3,12)</f>
        <v>26-263/15:51</v>
      </c>
      <c r="N483" t="s">
        <v>5462</v>
      </c>
      <c r="O483" s="338" t="str">
        <f>AG483</f>
        <v>263/18:11</v>
      </c>
      <c r="P483" s="32" t="str">
        <f>MID(AH483,5,5)</f>
        <v>263_2</v>
      </c>
      <c r="Q483" s="59">
        <f>R458-3</f>
        <v>650874593.07753575</v>
      </c>
      <c r="R483" s="346">
        <v>652225386</v>
      </c>
      <c r="S483" s="345">
        <f>R483-Q483</f>
        <v>1350792.9224642515</v>
      </c>
      <c r="T483" s="345">
        <f>S483*$S$2</f>
        <v>683050.7709562704</v>
      </c>
      <c r="U483" s="3">
        <v>0</v>
      </c>
      <c r="V483" s="20">
        <f>T483+U483*$V$38</f>
        <v>683050.7709562704</v>
      </c>
      <c r="W483" s="20">
        <f>AA483*1000000/8</f>
        <v>703327.8</v>
      </c>
      <c r="X483" s="344">
        <f t="shared" si="153"/>
        <v>20277.02904372965</v>
      </c>
      <c r="Y483" s="343"/>
      <c r="Z483" s="342"/>
      <c r="AA483" s="78">
        <f>AN483</f>
        <v>5.6266224000000005</v>
      </c>
      <c r="AC483" s="130">
        <f>AE483+AC458</f>
        <v>10.60658376764993</v>
      </c>
      <c r="AD483" s="3">
        <f>X483*8/1000000</f>
        <v>0.1622162323498372</v>
      </c>
      <c r="AE483" s="3">
        <f>V483*8/1000000</f>
        <v>5.4644061676501634</v>
      </c>
      <c r="AF483" s="341" t="str">
        <f>AH483</f>
        <v>TRK_263_2</v>
      </c>
      <c r="AG483" t="s">
        <v>5461</v>
      </c>
      <c r="AH483" t="s">
        <v>5460</v>
      </c>
      <c r="AI483" t="s">
        <v>5459</v>
      </c>
      <c r="AJ483">
        <v>0.195407</v>
      </c>
      <c r="AK483">
        <v>0.86524299999999998</v>
      </c>
      <c r="AL483">
        <v>0.66983599999999999</v>
      </c>
      <c r="AM483">
        <v>5.8945550000000004</v>
      </c>
      <c r="AN483" s="340">
        <f>AL483*8*1.05</f>
        <v>5.6266224000000005</v>
      </c>
      <c r="AP483" s="339" t="s">
        <v>5458</v>
      </c>
    </row>
    <row r="484" spans="10:42" ht="13.5" customHeight="1">
      <c r="O484" s="338"/>
      <c r="AM484">
        <f>SUM(AM452:AM483)</f>
        <v>260.41025799999994</v>
      </c>
    </row>
    <row r="485" spans="10:42" ht="13.5" customHeight="1">
      <c r="O485" s="338"/>
      <c r="Q485" t="s">
        <v>5457</v>
      </c>
      <c r="W485" t="s">
        <v>5456</v>
      </c>
      <c r="AD485" t="s">
        <v>5455</v>
      </c>
      <c r="AE485" t="s">
        <v>5454</v>
      </c>
      <c r="AF485" t="s">
        <v>5453</v>
      </c>
      <c r="AG485" t="s">
        <v>5452</v>
      </c>
      <c r="AJ485" s="3"/>
    </row>
    <row r="486" spans="10:42" ht="13.5" customHeight="1">
      <c r="Q486" t="s">
        <v>5451</v>
      </c>
      <c r="R486" t="s">
        <v>5450</v>
      </c>
      <c r="S486" t="s">
        <v>5449</v>
      </c>
      <c r="U486" t="s">
        <v>5448</v>
      </c>
      <c r="V486" t="s">
        <v>5447</v>
      </c>
      <c r="W486" t="s">
        <v>5446</v>
      </c>
      <c r="X486" t="s">
        <v>5445</v>
      </c>
      <c r="Y486" t="s">
        <v>5444</v>
      </c>
      <c r="Z486" t="s">
        <v>6</v>
      </c>
    </row>
    <row r="487" spans="10:42" ht="13.5" customHeight="1">
      <c r="P487" t="s">
        <v>5443</v>
      </c>
      <c r="Q487" s="319">
        <v>645953884</v>
      </c>
      <c r="R487">
        <v>645955455</v>
      </c>
      <c r="S487">
        <f>R487-Q487</f>
        <v>1571</v>
      </c>
      <c r="U487" s="336">
        <f>AA480/2</f>
        <v>18.782110199999998</v>
      </c>
      <c r="V487" s="5">
        <f>U487*1000000/8</f>
        <v>2347763.7749999999</v>
      </c>
      <c r="W487">
        <f>50*1000000/8</f>
        <v>6250000</v>
      </c>
      <c r="X487">
        <f>V487/W487</f>
        <v>0.37564220399999998</v>
      </c>
      <c r="Y487">
        <f>X487*S487</f>
        <v>590.13390248399992</v>
      </c>
      <c r="Z487" s="337">
        <f>Q487+Y487</f>
        <v>645954474.13390243</v>
      </c>
    </row>
    <row r="488" spans="10:42" ht="13.5" customHeight="1">
      <c r="Q488" s="319">
        <f>Z487-1</f>
        <v>645954473.13390243</v>
      </c>
      <c r="R488">
        <v>645955455</v>
      </c>
      <c r="S488" s="5">
        <f>R488-Q488</f>
        <v>981.86609756946564</v>
      </c>
      <c r="U488" s="336">
        <f>U487</f>
        <v>18.782110199999998</v>
      </c>
      <c r="V488" s="5">
        <f>U488*1000000/8</f>
        <v>2347763.7749999999</v>
      </c>
      <c r="W488">
        <f>W487-V487</f>
        <v>3902236.2250000001</v>
      </c>
      <c r="X488">
        <f>V488/W488</f>
        <v>0.60164573327438675</v>
      </c>
      <c r="Y488">
        <f>X488*S488</f>
        <v>590.73554824944176</v>
      </c>
      <c r="Z488" s="319">
        <f>Q488+Y488</f>
        <v>645955063.86945069</v>
      </c>
    </row>
    <row r="489" spans="10:42" ht="13.5" customHeight="1">
      <c r="P489" t="s">
        <v>5442</v>
      </c>
      <c r="Q489" s="319">
        <f>Z488-1</f>
        <v>645955062.86945069</v>
      </c>
      <c r="R489">
        <v>645955455</v>
      </c>
      <c r="S489" s="5">
        <f>R489-Q489</f>
        <v>392.13054931163788</v>
      </c>
      <c r="U489" s="336">
        <f>AA482</f>
        <v>7.3708488000000001</v>
      </c>
      <c r="V489" s="5">
        <f>U489*1000000/8</f>
        <v>921356.1</v>
      </c>
      <c r="W489">
        <f>W488-V488</f>
        <v>1554472.4500000002</v>
      </c>
      <c r="X489">
        <f>V489/W489</f>
        <v>0.59271304550942661</v>
      </c>
      <c r="Y489">
        <f>X489*S489</f>
        <v>232.42089211978526</v>
      </c>
      <c r="Z489" s="319">
        <f>Q489+Y489</f>
        <v>645955295.29034281</v>
      </c>
    </row>
    <row r="490" spans="10:42" ht="13.5" customHeight="1">
      <c r="Q490" s="5">
        <f>Z489-1</f>
        <v>645955294.29034281</v>
      </c>
      <c r="R490">
        <v>645955455</v>
      </c>
      <c r="S490" s="5">
        <f>R490-Q490</f>
        <v>160.70965719223022</v>
      </c>
      <c r="U490" s="336">
        <f>50-U487-U488-U489</f>
        <v>5.0649308000000035</v>
      </c>
      <c r="V490" s="5">
        <f>U490*1000000/8</f>
        <v>633116.35000000044</v>
      </c>
      <c r="W490">
        <f>W489-V489</f>
        <v>633116.35000000021</v>
      </c>
      <c r="X490">
        <f>V490/W490</f>
        <v>1.0000000000000004</v>
      </c>
      <c r="Y490">
        <f>X490*S490</f>
        <v>160.70965719223031</v>
      </c>
      <c r="Z490" s="5">
        <f>Q490+Y490</f>
        <v>645955455</v>
      </c>
    </row>
    <row r="516" customFormat="1" ht="13.5" customHeight="1"/>
    <row r="517" customFormat="1" ht="13.5" customHeight="1"/>
    <row r="518" customFormat="1" ht="13.5" customHeight="1"/>
    <row r="519" customFormat="1" ht="13.5" customHeight="1"/>
    <row r="520" customFormat="1" ht="13.5" customHeight="1"/>
    <row r="521" customFormat="1" ht="13.5" customHeight="1"/>
    <row r="522" customFormat="1" ht="13.5" customHeight="1"/>
    <row r="523" customFormat="1" ht="13.5" customHeight="1"/>
  </sheetData>
  <conditionalFormatting sqref="C2:K1048576">
    <cfRule type="expression" dxfId="19" priority="8">
      <formula>AND(_xlfn.TEXTJOIN("",FALSE,$E2:$I2) &lt;&gt;"",_xlfn.TEXTJOIN("",FALSE,$J2:$K2) &lt;&gt; "")</formula>
    </cfRule>
  </conditionalFormatting>
  <conditionalFormatting sqref="AO10:AS36">
    <cfRule type="expression" dxfId="18" priority="5">
      <formula>MOD(AO10,1)&lt;&gt;0</formula>
    </cfRule>
  </conditionalFormatting>
  <conditionalFormatting sqref="C1:K1048576">
    <cfRule type="expression" dxfId="17" priority="7" stopIfTrue="1">
      <formula>_xlfn.TEXTJOIN("",FALSE,$E1:$K1)="HSK3DT1DT2DT3DT4SDT1HSK4"</formula>
    </cfRule>
  </conditionalFormatting>
  <conditionalFormatting sqref="E2:K1048576">
    <cfRule type="expression" dxfId="16" priority="9">
      <formula>NOT(OR(EXACT(E2,""),EXACT(E2,E$1)))</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28575</xdr:rowOff>
                  </from>
                  <to>
                    <xdr:col>0</xdr:col>
                    <xdr:colOff>1704975</xdr:colOff>
                    <xdr:row>4</xdr:row>
                    <xdr:rowOff>9525</xdr:rowOff>
                  </to>
                </anchor>
              </controlPr>
            </control>
          </mc:Choice>
        </mc:AlternateContent>
        <mc:AlternateContent xmlns:mc="http://schemas.openxmlformats.org/markup-compatibility/2006">
          <mc:Choice Requires="x14">
            <control shapeId="90270" r:id="rId6" name="Button 158">
              <controlPr defaultSize="0" print="0" autoFill="0" autoPict="0" macro="[1]!S_TriggerFormMacro.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195"/>
  <sheetViews>
    <sheetView tabSelected="1" topLeftCell="A98" zoomScaleNormal="100" workbookViewId="0">
      <selection activeCell="C106" sqref="C106"/>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5361</v>
      </c>
    </row>
    <row r="40" spans="2:3">
      <c r="B40" s="6" t="s">
        <v>1267</v>
      </c>
      <c r="C40" t="s">
        <v>5358</v>
      </c>
    </row>
    <row r="41" spans="2:3">
      <c r="B41" s="6" t="s">
        <v>1267</v>
      </c>
      <c r="C41" t="s">
        <v>5359</v>
      </c>
    </row>
    <row r="43" spans="2:3">
      <c r="B43" t="s">
        <v>5362</v>
      </c>
    </row>
    <row r="45" spans="2:3">
      <c r="B45" t="s">
        <v>5364</v>
      </c>
    </row>
    <row r="47" spans="2:3">
      <c r="B47" t="s">
        <v>5367</v>
      </c>
    </row>
    <row r="49" spans="2:3">
      <c r="B49" t="s">
        <v>5368</v>
      </c>
    </row>
    <row r="51" spans="2:3">
      <c r="B51" t="s">
        <v>5373</v>
      </c>
    </row>
    <row r="52" spans="2:3">
      <c r="B52" s="6" t="s">
        <v>1267</v>
      </c>
      <c r="C52" t="s">
        <v>5372</v>
      </c>
    </row>
    <row r="53" spans="2:3">
      <c r="B53" s="6" t="s">
        <v>1267</v>
      </c>
      <c r="C53" t="s">
        <v>5370</v>
      </c>
    </row>
    <row r="54" spans="2:3">
      <c r="B54" s="6" t="s">
        <v>1267</v>
      </c>
      <c r="C54" t="s">
        <v>5369</v>
      </c>
    </row>
    <row r="55" spans="2:3">
      <c r="B55" s="6" t="s">
        <v>1267</v>
      </c>
      <c r="C55" t="s">
        <v>5371</v>
      </c>
    </row>
    <row r="57" spans="2:3">
      <c r="B57" t="s">
        <v>5380</v>
      </c>
    </row>
    <row r="58" spans="2:3">
      <c r="B58" s="6" t="s">
        <v>1267</v>
      </c>
      <c r="C58" t="s">
        <v>5381</v>
      </c>
    </row>
    <row r="59" spans="2:3">
      <c r="B59" s="6" t="s">
        <v>1267</v>
      </c>
      <c r="C59" t="s">
        <v>5382</v>
      </c>
    </row>
    <row r="60" spans="2:3">
      <c r="B60" s="6" t="s">
        <v>1267</v>
      </c>
      <c r="C60" t="s">
        <v>5383</v>
      </c>
    </row>
    <row r="61" spans="2:3">
      <c r="B61" s="6" t="s">
        <v>1267</v>
      </c>
    </row>
    <row r="63" spans="2:3">
      <c r="B63" t="s">
        <v>5384</v>
      </c>
    </row>
    <row r="64" spans="2:3">
      <c r="B64" s="6" t="s">
        <v>1267</v>
      </c>
      <c r="C64" t="s">
        <v>5386</v>
      </c>
    </row>
    <row r="65" spans="2:4">
      <c r="B65" s="6" t="s">
        <v>1267</v>
      </c>
      <c r="C65" t="s">
        <v>5385</v>
      </c>
    </row>
    <row r="67" spans="2:4">
      <c r="B67" t="s">
        <v>5428</v>
      </c>
    </row>
    <row r="69" spans="2:4">
      <c r="B69" t="s">
        <v>5429</v>
      </c>
    </row>
    <row r="71" spans="2:4">
      <c r="B71" t="s">
        <v>5431</v>
      </c>
    </row>
    <row r="72" spans="2:4">
      <c r="B72" s="6" t="s">
        <v>1267</v>
      </c>
      <c r="C72" t="s">
        <v>5433</v>
      </c>
    </row>
    <row r="73" spans="2:4">
      <c r="B73" s="6" t="s">
        <v>1267</v>
      </c>
      <c r="C73" t="s">
        <v>5432</v>
      </c>
    </row>
    <row r="74" spans="2:4">
      <c r="B74" s="6" t="s">
        <v>1267</v>
      </c>
      <c r="C74" t="s">
        <v>5434</v>
      </c>
    </row>
    <row r="75" spans="2:4">
      <c r="B75" s="6" t="s">
        <v>1267</v>
      </c>
      <c r="C75" t="s">
        <v>5435</v>
      </c>
    </row>
    <row r="76" spans="2:4">
      <c r="C76" s="6" t="s">
        <v>1267</v>
      </c>
      <c r="D76" t="s">
        <v>5436</v>
      </c>
    </row>
    <row r="78" spans="2:4">
      <c r="B78" t="s">
        <v>5437</v>
      </c>
    </row>
    <row r="80" spans="2:4">
      <c r="B80" t="s">
        <v>5718</v>
      </c>
    </row>
    <row r="81" spans="2:3">
      <c r="B81" s="6" t="s">
        <v>1267</v>
      </c>
      <c r="C81" t="s">
        <v>5719</v>
      </c>
    </row>
    <row r="82" spans="2:3">
      <c r="B82" s="6" t="s">
        <v>1267</v>
      </c>
      <c r="C82" t="s">
        <v>5722</v>
      </c>
    </row>
    <row r="83" spans="2:3">
      <c r="B83" s="6" t="s">
        <v>1267</v>
      </c>
      <c r="C83" t="s">
        <v>5720</v>
      </c>
    </row>
    <row r="84" spans="2:3">
      <c r="B84" s="6" t="s">
        <v>1267</v>
      </c>
      <c r="C84" t="s">
        <v>5721</v>
      </c>
    </row>
    <row r="85" spans="2:3">
      <c r="B85" s="6" t="s">
        <v>1267</v>
      </c>
      <c r="C85" t="s">
        <v>5728</v>
      </c>
    </row>
    <row r="86" spans="2:3">
      <c r="B86" s="6" t="s">
        <v>1267</v>
      </c>
      <c r="C86" t="s">
        <v>5746</v>
      </c>
    </row>
    <row r="88" spans="2:3">
      <c r="B88" t="s">
        <v>5747</v>
      </c>
    </row>
    <row r="89" spans="2:3">
      <c r="B89" s="6" t="s">
        <v>1267</v>
      </c>
      <c r="C89" t="s">
        <v>5748</v>
      </c>
    </row>
    <row r="91" spans="2:3">
      <c r="B91" t="s">
        <v>5800</v>
      </c>
    </row>
    <row r="92" spans="2:3">
      <c r="B92" s="6" t="s">
        <v>1267</v>
      </c>
      <c r="C92" t="s">
        <v>5796</v>
      </c>
    </row>
    <row r="93" spans="2:3">
      <c r="B93" s="6" t="s">
        <v>1267</v>
      </c>
      <c r="C93" t="s">
        <v>5795</v>
      </c>
    </row>
    <row r="94" spans="2:3">
      <c r="B94" s="6" t="s">
        <v>1267</v>
      </c>
      <c r="C94" t="s">
        <v>5797</v>
      </c>
    </row>
    <row r="95" spans="2:3">
      <c r="B95" s="6" t="s">
        <v>1267</v>
      </c>
      <c r="C95" t="s">
        <v>5798</v>
      </c>
    </row>
    <row r="96" spans="2:3">
      <c r="B96" s="6" t="s">
        <v>1267</v>
      </c>
      <c r="C96" t="s">
        <v>5799</v>
      </c>
    </row>
    <row r="97" spans="1:5">
      <c r="B97" s="6"/>
    </row>
    <row r="98" spans="1:5">
      <c r="B98" t="s">
        <v>5801</v>
      </c>
    </row>
    <row r="99" spans="1:5">
      <c r="B99" s="6" t="s">
        <v>1267</v>
      </c>
      <c r="C99" t="s">
        <v>5802</v>
      </c>
    </row>
    <row r="100" spans="1:5">
      <c r="B100" s="6" t="s">
        <v>1267</v>
      </c>
      <c r="C100" t="s">
        <v>5803</v>
      </c>
    </row>
    <row r="101" spans="1:5">
      <c r="B101" s="6"/>
    </row>
    <row r="102" spans="1:5">
      <c r="B102" t="s">
        <v>5806</v>
      </c>
    </row>
    <row r="103" spans="1:5">
      <c r="B103" s="6" t="s">
        <v>1267</v>
      </c>
      <c r="C103" t="s">
        <v>5804</v>
      </c>
    </row>
    <row r="104" spans="1:5">
      <c r="B104" s="6" t="s">
        <v>1267</v>
      </c>
      <c r="C104" t="s">
        <v>5805</v>
      </c>
    </row>
    <row r="105" spans="1:5">
      <c r="B105" s="6" t="s">
        <v>1267</v>
      </c>
      <c r="C105" t="s">
        <v>5808</v>
      </c>
    </row>
    <row r="106" spans="1:5">
      <c r="B106" s="6" t="s">
        <v>1267</v>
      </c>
      <c r="C106" t="s">
        <v>5807</v>
      </c>
    </row>
    <row r="107" spans="1:5">
      <c r="B107" s="6"/>
    </row>
    <row r="109" spans="1:5" s="202" customFormat="1">
      <c r="A109" s="201" t="s">
        <v>1278</v>
      </c>
    </row>
    <row r="110" spans="1:5">
      <c r="A110" s="198"/>
    </row>
    <row r="111" spans="1:5">
      <c r="B111" s="265" t="s">
        <v>5388</v>
      </c>
      <c r="C111" s="265"/>
      <c r="D111" s="265"/>
      <c r="E111" s="265"/>
    </row>
    <row r="112" spans="1:5">
      <c r="B112" s="6" t="s">
        <v>1267</v>
      </c>
      <c r="C112" t="s">
        <v>5391</v>
      </c>
    </row>
    <row r="113" spans="2:5">
      <c r="B113" s="6" t="s">
        <v>1267</v>
      </c>
      <c r="C113" s="264" t="s">
        <v>1279</v>
      </c>
    </row>
    <row r="114" spans="2:5">
      <c r="B114" s="6" t="s">
        <v>1267</v>
      </c>
      <c r="C114" s="264" t="s">
        <v>1287</v>
      </c>
    </row>
    <row r="115" spans="2:5">
      <c r="B115" s="6" t="s">
        <v>1267</v>
      </c>
      <c r="C115" s="264" t="s">
        <v>1288</v>
      </c>
    </row>
    <row r="116" spans="2:5">
      <c r="B116" s="6"/>
    </row>
    <row r="117" spans="2:5">
      <c r="B117" t="s">
        <v>5393</v>
      </c>
    </row>
    <row r="118" spans="2:5">
      <c r="B118" s="6" t="s">
        <v>1267</v>
      </c>
      <c r="C118" t="s">
        <v>5398</v>
      </c>
    </row>
    <row r="119" spans="2:5">
      <c r="B119" s="6" t="s">
        <v>1267</v>
      </c>
      <c r="C119" t="s">
        <v>5392</v>
      </c>
    </row>
    <row r="120" spans="2:5">
      <c r="B120" s="6" t="s">
        <v>1267</v>
      </c>
      <c r="C120" t="s">
        <v>5387</v>
      </c>
    </row>
    <row r="121" spans="2:5">
      <c r="B121" s="6" t="s">
        <v>1267</v>
      </c>
      <c r="C121" s="18" t="s">
        <v>1280</v>
      </c>
    </row>
    <row r="122" spans="2:5">
      <c r="B122" s="6"/>
      <c r="C122" s="6" t="s">
        <v>1267</v>
      </c>
      <c r="D122" t="s">
        <v>1285</v>
      </c>
    </row>
    <row r="123" spans="2:5">
      <c r="D123" s="6" t="s">
        <v>1267</v>
      </c>
      <c r="E123" t="s">
        <v>1282</v>
      </c>
    </row>
    <row r="124" spans="2:5">
      <c r="D124" s="6" t="s">
        <v>1267</v>
      </c>
      <c r="E124" t="s">
        <v>5389</v>
      </c>
    </row>
    <row r="125" spans="2:5">
      <c r="D125" s="6" t="s">
        <v>1267</v>
      </c>
      <c r="E125" t="s">
        <v>5399</v>
      </c>
    </row>
    <row r="126" spans="2:5">
      <c r="D126" s="6" t="s">
        <v>1267</v>
      </c>
      <c r="E126" t="s">
        <v>1283</v>
      </c>
    </row>
    <row r="127" spans="2:5">
      <c r="D127" s="6" t="s">
        <v>1267</v>
      </c>
      <c r="E127" t="s">
        <v>1284</v>
      </c>
    </row>
    <row r="128" spans="2:5">
      <c r="C128" s="6" t="s">
        <v>1267</v>
      </c>
      <c r="D128" t="s">
        <v>1281</v>
      </c>
    </row>
    <row r="130" spans="1:3">
      <c r="B130" t="s">
        <v>5390</v>
      </c>
    </row>
    <row r="131" spans="1:3">
      <c r="B131" s="6" t="s">
        <v>1267</v>
      </c>
      <c r="C131" t="s">
        <v>1286</v>
      </c>
    </row>
    <row r="133" spans="1:3">
      <c r="B133" t="s">
        <v>5394</v>
      </c>
    </row>
    <row r="134" spans="1:3">
      <c r="B134" s="6" t="s">
        <v>1267</v>
      </c>
      <c r="C134" t="s">
        <v>5395</v>
      </c>
    </row>
    <row r="135" spans="1:3">
      <c r="B135" s="6" t="s">
        <v>5396</v>
      </c>
      <c r="C135" t="s">
        <v>5397</v>
      </c>
    </row>
    <row r="137" spans="1:3" s="202" customFormat="1">
      <c r="A137" s="201" t="s">
        <v>1277</v>
      </c>
    </row>
    <row r="138" spans="1:3">
      <c r="A138" s="198"/>
    </row>
    <row r="139" spans="1:3">
      <c r="B139" t="s">
        <v>1290</v>
      </c>
    </row>
    <row r="140" spans="1:3">
      <c r="B140" t="s">
        <v>1289</v>
      </c>
    </row>
    <row r="143" spans="1:3" s="202" customFormat="1">
      <c r="A143" s="202" t="s">
        <v>5742</v>
      </c>
    </row>
    <row r="144" spans="1:3" ht="15.75" thickBot="1"/>
    <row r="145" spans="2:24">
      <c r="H145" s="317" t="s">
        <v>5730</v>
      </c>
      <c r="I145" s="451"/>
      <c r="J145" s="448"/>
      <c r="K145" s="448"/>
      <c r="L145" s="448"/>
      <c r="M145" s="448"/>
      <c r="N145" s="448"/>
      <c r="O145" s="448"/>
      <c r="P145" s="448"/>
      <c r="Q145" s="448"/>
      <c r="R145" s="449"/>
    </row>
    <row r="146" spans="2:24">
      <c r="H146" s="318"/>
      <c r="R146" s="169"/>
    </row>
    <row r="147" spans="2:24">
      <c r="H147" s="318"/>
      <c r="M147" s="3" t="s">
        <v>5733</v>
      </c>
      <c r="R147" s="169"/>
    </row>
    <row r="148" spans="2:24" ht="15.75" thickBot="1">
      <c r="H148" s="318"/>
      <c r="R148" s="169"/>
    </row>
    <row r="149" spans="2:24" ht="15" customHeight="1">
      <c r="H149" s="318"/>
      <c r="I149" s="317"/>
      <c r="J149" s="447"/>
      <c r="K149" s="457" t="s">
        <v>5440</v>
      </c>
      <c r="L149" s="458" t="s">
        <v>5440</v>
      </c>
      <c r="M149" s="458" t="s">
        <v>5440</v>
      </c>
      <c r="N149" s="459" t="s">
        <v>5729</v>
      </c>
      <c r="O149" s="461" t="s">
        <v>5729</v>
      </c>
      <c r="P149" s="460" t="s">
        <v>5729</v>
      </c>
      <c r="Q149" s="470" t="s">
        <v>5729</v>
      </c>
      <c r="R149" s="478"/>
      <c r="S149" s="565" t="s">
        <v>5734</v>
      </c>
      <c r="T149" s="565"/>
      <c r="U149" s="565"/>
      <c r="V149" s="565"/>
      <c r="W149" s="565"/>
      <c r="X149" s="566"/>
    </row>
    <row r="150" spans="2:24">
      <c r="H150" s="318"/>
      <c r="I150" s="453" t="s">
        <v>5282</v>
      </c>
      <c r="J150" s="454" t="s">
        <v>5308</v>
      </c>
      <c r="K150" s="328" t="s">
        <v>5441</v>
      </c>
      <c r="L150" s="329" t="s">
        <v>5441</v>
      </c>
      <c r="M150" s="329" t="s">
        <v>5441</v>
      </c>
      <c r="N150" s="328" t="s">
        <v>5441</v>
      </c>
      <c r="O150" s="462" t="s">
        <v>5441</v>
      </c>
      <c r="P150" s="329" t="s">
        <v>5441</v>
      </c>
      <c r="Q150" s="331" t="s">
        <v>5441</v>
      </c>
      <c r="R150" s="169"/>
      <c r="S150" s="567"/>
      <c r="T150" s="567"/>
      <c r="U150" s="567"/>
      <c r="V150" s="567"/>
      <c r="W150" s="567"/>
      <c r="X150" s="568"/>
    </row>
    <row r="151" spans="2:24">
      <c r="H151" s="318"/>
      <c r="I151" s="453" t="s">
        <v>5282</v>
      </c>
      <c r="J151" s="454" t="s">
        <v>5308</v>
      </c>
      <c r="K151" s="330" t="s">
        <v>5441</v>
      </c>
      <c r="L151" s="446" t="s">
        <v>5441</v>
      </c>
      <c r="M151" s="446" t="s">
        <v>5441</v>
      </c>
      <c r="N151" s="330" t="s">
        <v>5441</v>
      </c>
      <c r="O151" s="463" t="s">
        <v>5441</v>
      </c>
      <c r="P151" s="446" t="s">
        <v>5441</v>
      </c>
      <c r="Q151" s="332" t="s">
        <v>5441</v>
      </c>
      <c r="R151" s="169"/>
    </row>
    <row r="152" spans="2:24">
      <c r="H152" s="318"/>
      <c r="I152" s="465" t="s">
        <v>5282</v>
      </c>
      <c r="J152" s="466" t="s">
        <v>5308</v>
      </c>
      <c r="K152" s="466" t="s">
        <v>5441</v>
      </c>
      <c r="L152" s="467" t="s">
        <v>5441</v>
      </c>
      <c r="M152" s="467" t="s">
        <v>5441</v>
      </c>
      <c r="N152" s="466" t="s">
        <v>5441</v>
      </c>
      <c r="O152" s="468" t="s">
        <v>5441</v>
      </c>
      <c r="P152" s="467" t="s">
        <v>5441</v>
      </c>
      <c r="Q152" s="467" t="s">
        <v>5441</v>
      </c>
      <c r="R152" s="169"/>
    </row>
    <row r="153" spans="2:24">
      <c r="H153" s="318"/>
      <c r="I153" s="453" t="s">
        <v>5282</v>
      </c>
      <c r="J153" s="454" t="s">
        <v>5308</v>
      </c>
      <c r="K153" s="330" t="s">
        <v>5441</v>
      </c>
      <c r="L153" s="446" t="s">
        <v>5441</v>
      </c>
      <c r="M153" s="446" t="s">
        <v>5441</v>
      </c>
      <c r="N153" s="330" t="s">
        <v>5441</v>
      </c>
      <c r="O153" s="463" t="s">
        <v>5441</v>
      </c>
      <c r="P153" s="446" t="s">
        <v>5441</v>
      </c>
      <c r="Q153" s="332" t="s">
        <v>5441</v>
      </c>
      <c r="R153" s="169"/>
    </row>
    <row r="154" spans="2:24" ht="15.75" thickBot="1">
      <c r="H154" s="318"/>
      <c r="I154" s="455" t="s">
        <v>5282</v>
      </c>
      <c r="J154" s="456" t="s">
        <v>5308</v>
      </c>
      <c r="K154" s="333" t="s">
        <v>5441</v>
      </c>
      <c r="L154" s="334" t="s">
        <v>5441</v>
      </c>
      <c r="M154" s="334" t="s">
        <v>5441</v>
      </c>
      <c r="N154" s="333" t="s">
        <v>5441</v>
      </c>
      <c r="O154" s="464" t="s">
        <v>5441</v>
      </c>
      <c r="P154" s="334" t="s">
        <v>5441</v>
      </c>
      <c r="Q154" s="335" t="s">
        <v>5441</v>
      </c>
      <c r="R154" s="169"/>
    </row>
    <row r="155" spans="2:24" ht="15.75" thickBot="1">
      <c r="H155" s="321"/>
      <c r="I155" s="476"/>
      <c r="J155" s="477"/>
      <c r="K155" s="322"/>
      <c r="L155" s="322"/>
      <c r="M155" s="322"/>
      <c r="N155" s="452"/>
      <c r="O155" s="322"/>
      <c r="P155" s="322"/>
      <c r="Q155" s="322"/>
      <c r="R155" s="450"/>
    </row>
    <row r="156" spans="2:24" ht="18.75" customHeight="1">
      <c r="B156" s="471"/>
      <c r="C156" s="472"/>
      <c r="D156" s="472"/>
      <c r="E156" s="472"/>
      <c r="F156" s="472"/>
      <c r="G156" s="472"/>
      <c r="H156" s="473"/>
      <c r="I156" s="474" t="s">
        <v>5732</v>
      </c>
      <c r="J156" s="475" t="s">
        <v>5731</v>
      </c>
    </row>
    <row r="158" spans="2:24" ht="15" customHeight="1">
      <c r="B158" s="6" t="s">
        <v>1267</v>
      </c>
      <c r="C158" s="18" t="s">
        <v>5736</v>
      </c>
      <c r="R158" s="569" t="s">
        <v>5735</v>
      </c>
      <c r="S158" s="570"/>
      <c r="T158" s="570"/>
      <c r="U158" s="570"/>
      <c r="V158" s="571"/>
      <c r="W158" s="469"/>
    </row>
    <row r="159" spans="2:24">
      <c r="B159" s="6" t="s">
        <v>1267</v>
      </c>
      <c r="C159" s="18" t="s">
        <v>5737</v>
      </c>
      <c r="R159" s="572"/>
      <c r="S159" s="573"/>
      <c r="T159" s="573"/>
      <c r="U159" s="573"/>
      <c r="V159" s="574"/>
      <c r="W159" s="469"/>
    </row>
    <row r="160" spans="2:24">
      <c r="B160" s="6" t="s">
        <v>1267</v>
      </c>
      <c r="C160" s="18" t="s">
        <v>5738</v>
      </c>
      <c r="R160" s="575"/>
      <c r="S160" s="576"/>
      <c r="T160" s="576"/>
      <c r="U160" s="576"/>
      <c r="V160" s="577"/>
      <c r="W160" s="469"/>
    </row>
    <row r="161" spans="1:21">
      <c r="C161" s="6" t="s">
        <v>5396</v>
      </c>
      <c r="D161" t="s">
        <v>5741</v>
      </c>
    </row>
    <row r="162" spans="1:21">
      <c r="C162" s="6" t="s">
        <v>5396</v>
      </c>
      <c r="D162" t="s">
        <v>5739</v>
      </c>
    </row>
    <row r="163" spans="1:21">
      <c r="B163" s="6" t="s">
        <v>1267</v>
      </c>
      <c r="C163" s="18" t="s">
        <v>5743</v>
      </c>
    </row>
    <row r="164" spans="1:21">
      <c r="C164" s="6" t="s">
        <v>5396</v>
      </c>
      <c r="D164" t="s">
        <v>5740</v>
      </c>
    </row>
    <row r="165" spans="1:21">
      <c r="C165" s="6" t="s">
        <v>5396</v>
      </c>
      <c r="D165" t="s">
        <v>5745</v>
      </c>
      <c r="U165" s="479"/>
    </row>
    <row r="166" spans="1:21">
      <c r="B166" s="6" t="s">
        <v>1267</v>
      </c>
      <c r="C166" s="18" t="s">
        <v>5744</v>
      </c>
    </row>
    <row r="169" spans="1:21" s="202" customFormat="1">
      <c r="A169" s="508" t="s">
        <v>5773</v>
      </c>
      <c r="B169" s="508"/>
      <c r="C169" s="508"/>
      <c r="D169" s="508"/>
      <c r="E169" s="508"/>
      <c r="F169" s="508"/>
      <c r="G169" s="508"/>
      <c r="H169" s="508"/>
      <c r="I169" s="508"/>
      <c r="J169" s="508"/>
      <c r="K169" s="508"/>
      <c r="L169" s="508"/>
      <c r="M169" s="508"/>
      <c r="N169" s="508"/>
      <c r="O169" s="508"/>
      <c r="P169" s="508"/>
      <c r="Q169" s="508"/>
      <c r="R169" s="508"/>
    </row>
    <row r="170" spans="1:21">
      <c r="A170" s="509"/>
      <c r="B170" s="509"/>
      <c r="C170" s="509"/>
      <c r="D170" s="509"/>
      <c r="E170" s="509"/>
      <c r="F170" s="509"/>
      <c r="G170" s="509"/>
      <c r="H170" s="509"/>
      <c r="I170" s="509"/>
      <c r="J170" s="509"/>
      <c r="K170" s="509"/>
      <c r="L170" s="509"/>
      <c r="M170" s="509"/>
      <c r="N170" s="509"/>
      <c r="O170" s="509"/>
      <c r="P170" s="509"/>
      <c r="Q170" s="509"/>
      <c r="R170" s="509"/>
    </row>
    <row r="171" spans="1:21">
      <c r="A171" s="509"/>
      <c r="B171" s="510" t="s">
        <v>1267</v>
      </c>
      <c r="C171" s="509" t="s">
        <v>5786</v>
      </c>
      <c r="D171" s="509"/>
      <c r="E171" s="509"/>
      <c r="F171" s="509"/>
      <c r="G171" s="509"/>
      <c r="H171" s="509"/>
      <c r="I171" s="509"/>
      <c r="J171" s="509"/>
      <c r="K171" s="509"/>
      <c r="L171" s="509"/>
      <c r="M171" s="509"/>
      <c r="N171" s="509"/>
      <c r="O171" s="509"/>
      <c r="P171" s="509"/>
      <c r="Q171" s="509"/>
      <c r="R171" s="509"/>
    </row>
    <row r="172" spans="1:21">
      <c r="A172" s="509"/>
      <c r="B172" s="510" t="s">
        <v>1267</v>
      </c>
      <c r="C172" s="509" t="s">
        <v>5777</v>
      </c>
      <c r="D172" s="509"/>
      <c r="E172" s="509"/>
      <c r="F172" s="509"/>
      <c r="G172" s="509"/>
      <c r="H172" s="509"/>
      <c r="I172" s="509"/>
      <c r="J172" s="509"/>
      <c r="K172" s="509"/>
      <c r="L172" s="509"/>
      <c r="M172" s="509"/>
      <c r="N172" s="509"/>
      <c r="O172" s="509"/>
      <c r="P172" s="509"/>
      <c r="Q172" s="509"/>
      <c r="R172" s="509"/>
    </row>
    <row r="173" spans="1:21">
      <c r="A173" s="509"/>
      <c r="B173" s="509"/>
      <c r="C173" s="510"/>
      <c r="D173" s="509"/>
      <c r="E173" s="509"/>
      <c r="F173" s="509"/>
      <c r="G173" s="509"/>
      <c r="H173" s="509"/>
      <c r="I173" s="509"/>
      <c r="J173" s="509"/>
      <c r="K173" s="509"/>
      <c r="L173" s="509"/>
      <c r="M173" s="509"/>
      <c r="N173" s="509"/>
      <c r="O173" s="509"/>
      <c r="P173" s="509"/>
      <c r="Q173" s="509"/>
      <c r="R173" s="509"/>
    </row>
    <row r="174" spans="1:21" ht="17.25">
      <c r="A174" s="509"/>
      <c r="B174" s="510" t="s">
        <v>1267</v>
      </c>
      <c r="C174" s="509" t="s">
        <v>5767</v>
      </c>
      <c r="D174" s="509"/>
      <c r="E174" s="509"/>
      <c r="F174" s="578" t="s">
        <v>5771</v>
      </c>
      <c r="G174" s="578"/>
      <c r="H174" s="511" t="s">
        <v>5759</v>
      </c>
      <c r="I174" s="579" t="s">
        <v>5779</v>
      </c>
      <c r="J174" s="579"/>
      <c r="K174" s="509"/>
      <c r="L174" s="509"/>
      <c r="M174" s="535" t="s">
        <v>5784</v>
      </c>
      <c r="N174" s="509"/>
      <c r="O174" s="509"/>
      <c r="P174" s="509"/>
      <c r="Q174" s="509"/>
      <c r="R174" s="509"/>
    </row>
    <row r="175" spans="1:21" ht="17.25">
      <c r="A175" s="509"/>
      <c r="B175" s="509"/>
      <c r="C175" s="509"/>
      <c r="D175" s="509"/>
      <c r="E175" s="509"/>
      <c r="F175" s="509"/>
      <c r="G175" s="509"/>
      <c r="H175" s="509"/>
      <c r="I175" s="509"/>
      <c r="J175" s="509"/>
      <c r="K175" s="509"/>
      <c r="L175" s="509"/>
      <c r="M175" s="547" t="s">
        <v>5778</v>
      </c>
      <c r="N175" s="509"/>
      <c r="O175" s="509"/>
      <c r="P175" s="509"/>
      <c r="Q175" s="509"/>
      <c r="R175" s="509"/>
    </row>
    <row r="176" spans="1:21" ht="18" thickBot="1">
      <c r="A176" s="509"/>
      <c r="B176" s="510" t="s">
        <v>1267</v>
      </c>
      <c r="C176" s="509" t="s">
        <v>5767</v>
      </c>
      <c r="D176" s="509"/>
      <c r="E176" s="509"/>
      <c r="F176" s="580" t="s">
        <v>5761</v>
      </c>
      <c r="G176" s="580"/>
      <c r="H176" s="511" t="s">
        <v>5759</v>
      </c>
      <c r="I176" s="580" t="s">
        <v>5780</v>
      </c>
      <c r="J176" s="580"/>
      <c r="K176" s="509"/>
      <c r="M176" s="535" t="s">
        <v>5781</v>
      </c>
      <c r="N176" s="509"/>
      <c r="O176" s="509"/>
      <c r="P176" s="509"/>
      <c r="Q176" s="509"/>
      <c r="R176" s="509"/>
    </row>
    <row r="177" spans="1:18" ht="17.25">
      <c r="A177" s="509"/>
      <c r="B177" s="509"/>
      <c r="C177" s="509"/>
      <c r="D177" s="509"/>
      <c r="E177" s="509"/>
      <c r="F177" s="564" t="s">
        <v>5760</v>
      </c>
      <c r="G177" s="564"/>
      <c r="H177" s="509"/>
      <c r="I177" s="564" t="s">
        <v>5782</v>
      </c>
      <c r="J177" s="564"/>
      <c r="K177" s="509"/>
      <c r="M177" s="535" t="s">
        <v>5774</v>
      </c>
      <c r="N177" s="509"/>
      <c r="O177" s="509"/>
      <c r="P177" s="509"/>
      <c r="Q177" s="509"/>
      <c r="R177" s="509"/>
    </row>
    <row r="178" spans="1:18">
      <c r="A178" s="509"/>
      <c r="B178" s="509"/>
      <c r="C178" s="509"/>
      <c r="D178" s="509"/>
      <c r="E178" s="509"/>
      <c r="F178" s="511"/>
      <c r="G178" s="511"/>
      <c r="H178" s="509"/>
      <c r="I178" s="511"/>
      <c r="J178" s="511"/>
      <c r="K178" s="509"/>
      <c r="L178" s="512"/>
      <c r="M178" s="509"/>
      <c r="N178" s="509"/>
      <c r="O178" s="509"/>
      <c r="P178" s="509"/>
      <c r="Q178" s="509"/>
      <c r="R178" s="509"/>
    </row>
    <row r="179" spans="1:18">
      <c r="A179" s="509"/>
      <c r="B179" s="509"/>
      <c r="C179" s="509"/>
      <c r="D179" s="509"/>
      <c r="E179" s="509"/>
      <c r="F179" s="511"/>
      <c r="G179" s="511"/>
      <c r="H179" s="509"/>
      <c r="I179" s="511"/>
      <c r="J179" s="511"/>
      <c r="K179" s="509"/>
      <c r="M179" s="509"/>
      <c r="N179" s="509"/>
      <c r="O179" s="509"/>
      <c r="P179" s="509"/>
      <c r="Q179" s="509"/>
      <c r="R179" s="509"/>
    </row>
    <row r="180" spans="1:18">
      <c r="A180" s="509"/>
      <c r="B180" s="509"/>
      <c r="C180" s="509"/>
      <c r="D180" s="509"/>
      <c r="E180" s="509"/>
      <c r="F180" s="511"/>
      <c r="G180" s="511"/>
      <c r="H180" s="509"/>
      <c r="I180" s="511"/>
      <c r="J180" s="511"/>
      <c r="K180" s="509"/>
      <c r="L180" s="509"/>
      <c r="M180" s="509"/>
      <c r="N180" s="509"/>
      <c r="O180" s="509"/>
      <c r="P180" s="509"/>
      <c r="Q180" s="509"/>
      <c r="R180" s="509"/>
    </row>
    <row r="181" spans="1:18">
      <c r="A181" s="509"/>
      <c r="B181" s="509"/>
      <c r="C181" s="509"/>
      <c r="D181" s="509"/>
      <c r="E181" s="509"/>
      <c r="F181" s="511"/>
      <c r="G181" s="511"/>
      <c r="H181" s="509"/>
      <c r="I181" s="511" t="s">
        <v>5776</v>
      </c>
      <c r="J181" s="511"/>
      <c r="K181" s="509"/>
      <c r="L181" s="509"/>
      <c r="M181" s="509"/>
      <c r="N181" s="509"/>
      <c r="O181" s="509"/>
      <c r="P181" s="509"/>
      <c r="Q181" s="509"/>
      <c r="R181" s="509"/>
    </row>
    <row r="182" spans="1:18">
      <c r="A182" s="509"/>
      <c r="B182" s="509"/>
      <c r="C182" s="509"/>
      <c r="D182" s="509"/>
      <c r="E182" s="509"/>
      <c r="F182" s="511"/>
      <c r="G182" s="511"/>
      <c r="H182" s="509"/>
      <c r="I182" s="511" t="s">
        <v>5785</v>
      </c>
      <c r="J182" s="511"/>
      <c r="K182" s="509"/>
      <c r="L182" s="509"/>
      <c r="M182" s="509"/>
      <c r="N182" s="509"/>
      <c r="O182" s="509"/>
      <c r="P182" s="509"/>
      <c r="Q182" s="509"/>
      <c r="R182" s="509"/>
    </row>
    <row r="183" spans="1:18">
      <c r="A183" s="509"/>
      <c r="B183" s="509"/>
      <c r="C183" s="509"/>
      <c r="D183" s="509"/>
      <c r="E183" s="509"/>
      <c r="F183" s="511"/>
      <c r="G183" s="511"/>
      <c r="H183" s="509"/>
      <c r="I183" s="546" t="s">
        <v>5775</v>
      </c>
      <c r="J183" s="511"/>
      <c r="K183" s="509"/>
      <c r="L183" s="509"/>
      <c r="M183" s="509"/>
      <c r="N183" s="509"/>
      <c r="O183" s="509"/>
      <c r="P183" s="509"/>
      <c r="Q183" s="509"/>
      <c r="R183" s="509"/>
    </row>
    <row r="184" spans="1:18" ht="15.75" thickBot="1">
      <c r="A184" s="509"/>
      <c r="B184" s="509"/>
      <c r="C184" s="509"/>
      <c r="D184" s="509"/>
      <c r="E184" s="509"/>
      <c r="F184" s="509"/>
      <c r="G184" s="509"/>
      <c r="H184" s="509"/>
      <c r="J184" s="509"/>
      <c r="K184" s="509"/>
      <c r="L184" s="509"/>
      <c r="M184" s="509"/>
      <c r="N184" s="509"/>
      <c r="O184" s="509"/>
      <c r="P184" s="509"/>
      <c r="Q184" s="509"/>
      <c r="R184" s="509"/>
    </row>
    <row r="185" spans="1:18" ht="15.75" thickBot="1">
      <c r="A185" s="509"/>
      <c r="B185" s="509"/>
      <c r="C185" s="509"/>
      <c r="D185" s="509"/>
      <c r="E185" s="509"/>
      <c r="F185" s="513"/>
      <c r="G185" s="513"/>
      <c r="H185" s="514"/>
      <c r="I185" s="515" t="s">
        <v>5765</v>
      </c>
      <c r="J185" s="514"/>
      <c r="K185" s="514"/>
      <c r="L185" s="516"/>
      <c r="N185" s="509"/>
      <c r="O185" s="509"/>
      <c r="P185" s="509"/>
      <c r="Q185" s="509"/>
      <c r="R185" s="509"/>
    </row>
    <row r="186" spans="1:18">
      <c r="A186" s="509"/>
      <c r="B186" s="509"/>
      <c r="C186" s="509"/>
      <c r="D186" s="509"/>
      <c r="E186" s="509"/>
      <c r="F186" s="517"/>
      <c r="G186" s="518" t="s">
        <v>53</v>
      </c>
      <c r="H186" s="519" t="s">
        <v>54</v>
      </c>
      <c r="I186" s="519" t="s">
        <v>5762</v>
      </c>
      <c r="J186" s="519" t="s">
        <v>49</v>
      </c>
      <c r="K186" s="519" t="s">
        <v>50</v>
      </c>
      <c r="L186" s="520" t="s">
        <v>51</v>
      </c>
      <c r="M186" s="509"/>
      <c r="N186" s="509"/>
      <c r="O186" s="509"/>
      <c r="P186" s="509"/>
      <c r="Q186" s="509"/>
      <c r="R186" s="509"/>
    </row>
    <row r="187" spans="1:18" ht="15.75" thickBot="1">
      <c r="A187" s="509"/>
      <c r="B187" s="509"/>
      <c r="C187" s="509"/>
      <c r="D187" s="509"/>
      <c r="E187" s="510"/>
      <c r="F187" s="521"/>
      <c r="G187" s="522" t="s">
        <v>61</v>
      </c>
      <c r="H187" s="523" t="s">
        <v>5757</v>
      </c>
      <c r="I187" s="523" t="s">
        <v>5408</v>
      </c>
      <c r="J187" s="523" t="s">
        <v>1</v>
      </c>
      <c r="K187" s="523" t="s">
        <v>58</v>
      </c>
      <c r="L187" s="524" t="s">
        <v>5284</v>
      </c>
      <c r="M187" s="509"/>
      <c r="N187" s="509"/>
      <c r="O187" s="509"/>
      <c r="P187" s="509"/>
      <c r="Q187" s="509"/>
      <c r="R187" s="509"/>
    </row>
    <row r="188" spans="1:18" ht="30">
      <c r="A188" s="509"/>
      <c r="B188" s="509"/>
      <c r="C188" s="509"/>
      <c r="D188" s="509"/>
      <c r="E188" s="509"/>
      <c r="F188" s="525" t="s">
        <v>5772</v>
      </c>
      <c r="G188" s="526" t="s">
        <v>5764</v>
      </c>
      <c r="H188" s="527" t="s">
        <v>5758</v>
      </c>
      <c r="I188" s="527" t="s">
        <v>5783</v>
      </c>
      <c r="J188" s="527" t="s">
        <v>5764</v>
      </c>
      <c r="K188" s="527" t="s">
        <v>5764</v>
      </c>
      <c r="L188" s="528" t="s">
        <v>5764</v>
      </c>
      <c r="M188" s="551" t="s">
        <v>5787</v>
      </c>
      <c r="N188" s="509"/>
      <c r="O188" s="509"/>
      <c r="P188" s="509"/>
      <c r="Q188" s="509"/>
      <c r="R188" s="509"/>
    </row>
    <row r="189" spans="1:18" ht="17.25">
      <c r="A189" s="509"/>
      <c r="B189" s="509"/>
      <c r="C189" s="509"/>
      <c r="D189" s="509"/>
      <c r="E189" s="509"/>
      <c r="F189" s="529">
        <v>102</v>
      </c>
      <c r="G189" s="530" t="s">
        <v>5763</v>
      </c>
      <c r="H189" s="531" t="s">
        <v>5763</v>
      </c>
      <c r="I189" s="552" t="s">
        <v>5788</v>
      </c>
      <c r="J189" s="531" t="s">
        <v>5763</v>
      </c>
      <c r="K189" s="531" t="s">
        <v>5763</v>
      </c>
      <c r="L189" s="532" t="s">
        <v>5763</v>
      </c>
      <c r="M189" s="535" t="s">
        <v>5789</v>
      </c>
      <c r="N189" s="509"/>
      <c r="O189" s="509"/>
      <c r="P189" s="509"/>
      <c r="Q189" s="509"/>
      <c r="R189" s="509"/>
    </row>
    <row r="190" spans="1:18" ht="17.25">
      <c r="A190" s="509"/>
      <c r="B190" s="509"/>
      <c r="C190" s="509"/>
      <c r="D190" s="509"/>
      <c r="E190" s="509" t="s">
        <v>5766</v>
      </c>
      <c r="F190" s="533" t="s">
        <v>5756</v>
      </c>
      <c r="G190" s="548" t="s">
        <v>5758</v>
      </c>
      <c r="H190" s="550" t="s">
        <v>5790</v>
      </c>
      <c r="I190" s="550" t="s">
        <v>5790</v>
      </c>
      <c r="J190" s="531" t="s">
        <v>5763</v>
      </c>
      <c r="K190" s="531" t="s">
        <v>5763</v>
      </c>
      <c r="L190" s="534" t="s">
        <v>5763</v>
      </c>
      <c r="M190" s="535" t="s">
        <v>5792</v>
      </c>
      <c r="N190" s="536"/>
      <c r="O190" s="509"/>
      <c r="P190" s="509"/>
      <c r="Q190" s="509"/>
      <c r="R190" s="509"/>
    </row>
    <row r="191" spans="1:18" ht="17.25">
      <c r="A191" s="509"/>
      <c r="B191" s="509"/>
      <c r="C191" s="509"/>
      <c r="D191" s="509"/>
      <c r="E191" s="509"/>
      <c r="F191" s="533" t="s">
        <v>5755</v>
      </c>
      <c r="G191" s="549" t="s">
        <v>5764</v>
      </c>
      <c r="H191" s="531" t="s">
        <v>5791</v>
      </c>
      <c r="I191" s="531" t="s">
        <v>5791</v>
      </c>
      <c r="J191" s="531" t="s">
        <v>5763</v>
      </c>
      <c r="K191" s="531" t="s">
        <v>5763</v>
      </c>
      <c r="L191" s="534" t="s">
        <v>5763</v>
      </c>
      <c r="M191" s="537" t="s">
        <v>5793</v>
      </c>
      <c r="N191" s="509"/>
      <c r="O191" s="509"/>
      <c r="P191" s="509"/>
      <c r="Q191" s="509"/>
      <c r="R191" s="509"/>
    </row>
    <row r="192" spans="1:18">
      <c r="A192" s="509"/>
      <c r="B192" s="509"/>
      <c r="C192" s="509"/>
      <c r="D192" s="509"/>
      <c r="E192" s="509"/>
      <c r="F192" s="529">
        <v>111</v>
      </c>
      <c r="G192" s="530" t="s">
        <v>5758</v>
      </c>
      <c r="H192" s="531" t="s">
        <v>5758</v>
      </c>
      <c r="I192" s="531" t="s">
        <v>5758</v>
      </c>
      <c r="J192" s="531" t="s">
        <v>5763</v>
      </c>
      <c r="K192" s="531" t="s">
        <v>5763</v>
      </c>
      <c r="L192" s="534" t="s">
        <v>5763</v>
      </c>
      <c r="M192" s="535" t="s">
        <v>5794</v>
      </c>
      <c r="N192" s="509"/>
      <c r="O192" s="509"/>
      <c r="P192" s="509"/>
      <c r="Q192" s="509"/>
      <c r="R192" s="509"/>
    </row>
    <row r="193" spans="1:18" ht="15.75" thickBot="1">
      <c r="A193" s="509"/>
      <c r="B193" s="509"/>
      <c r="C193" s="509"/>
      <c r="D193" s="509"/>
      <c r="E193" s="509"/>
      <c r="F193" s="538" t="s">
        <v>5758</v>
      </c>
      <c r="G193" s="539" t="s">
        <v>5758</v>
      </c>
      <c r="H193" s="540" t="s">
        <v>5758</v>
      </c>
      <c r="I193" s="540" t="s">
        <v>5758</v>
      </c>
      <c r="J193" s="540" t="s">
        <v>5758</v>
      </c>
      <c r="K193" s="540" t="s">
        <v>5758</v>
      </c>
      <c r="L193" s="541" t="s">
        <v>5758</v>
      </c>
      <c r="M193" s="509"/>
      <c r="N193" s="509"/>
      <c r="O193" s="509"/>
      <c r="P193" s="509"/>
      <c r="Q193" s="509"/>
      <c r="R193" s="509"/>
    </row>
    <row r="194" spans="1:18">
      <c r="A194" s="509"/>
      <c r="B194" s="509"/>
      <c r="C194" s="509"/>
      <c r="D194" s="509"/>
      <c r="E194" s="509"/>
      <c r="F194" s="509"/>
      <c r="G194" s="509"/>
      <c r="H194" s="509"/>
      <c r="I194" s="509"/>
      <c r="J194" s="509"/>
      <c r="K194" s="509"/>
      <c r="L194" s="509"/>
      <c r="M194" s="509"/>
      <c r="N194" s="509"/>
      <c r="O194" s="509"/>
      <c r="P194" s="509"/>
      <c r="Q194" s="509"/>
      <c r="R194" s="509"/>
    </row>
    <row r="195" spans="1:18">
      <c r="A195" s="509"/>
      <c r="B195" s="509"/>
      <c r="C195" s="509"/>
      <c r="D195" s="509"/>
      <c r="E195" s="542"/>
      <c r="F195" s="543" t="s">
        <v>5768</v>
      </c>
      <c r="G195" s="544">
        <v>1988</v>
      </c>
      <c r="H195" s="544">
        <v>19908</v>
      </c>
      <c r="I195" s="544">
        <v>1330</v>
      </c>
      <c r="J195" s="545" t="s">
        <v>5770</v>
      </c>
      <c r="K195" s="545" t="s">
        <v>5769</v>
      </c>
      <c r="L195" s="544">
        <v>512</v>
      </c>
      <c r="M195" s="509"/>
      <c r="N195" s="509"/>
      <c r="O195" s="509"/>
      <c r="P195" s="509"/>
      <c r="Q195" s="509"/>
      <c r="R195" s="509"/>
    </row>
  </sheetData>
  <mergeCells count="8">
    <mergeCell ref="I177:J177"/>
    <mergeCell ref="F177:G177"/>
    <mergeCell ref="S149:X150"/>
    <mergeCell ref="R158:V160"/>
    <mergeCell ref="F174:G174"/>
    <mergeCell ref="I174:J174"/>
    <mergeCell ref="F176:G176"/>
    <mergeCell ref="I176:J176"/>
  </mergeCells>
  <pageMargins left="0.7" right="0.7" top="0.75" bottom="0.75" header="0.3" footer="0.3"/>
  <ignoredErrors>
    <ignoredError sqref="I189" numberStoredAsText="1"/>
  </ignoredError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83"/>
  <sheetViews>
    <sheetView zoomScale="85" zoomScaleNormal="85" workbookViewId="0">
      <pane xSplit="5" ySplit="13" topLeftCell="F14" activePane="bottomRight" state="frozen"/>
      <selection pane="topRight" activeCell="F1" sqref="F1"/>
      <selection pane="bottomLeft" activeCell="A14" sqref="A14"/>
      <selection pane="bottomRight" activeCell="Q5" sqref="Q5"/>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25" t="s">
        <v>5438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67" t="s">
        <v>5400</v>
      </c>
      <c r="U2" s="238">
        <v>526</v>
      </c>
      <c r="V2" s="238">
        <v>2087</v>
      </c>
      <c r="W2" s="238">
        <v>512</v>
      </c>
      <c r="X2" s="238">
        <v>1988</v>
      </c>
      <c r="Y2" s="238">
        <v>1266</v>
      </c>
      <c r="Z2" s="238">
        <f>Y2</f>
        <v>1266</v>
      </c>
      <c r="AA2" s="238">
        <v>18176</v>
      </c>
    </row>
    <row r="3" spans="1:59">
      <c r="A3" s="4"/>
      <c r="B3" s="241" t="s">
        <v>5352</v>
      </c>
      <c r="I3" s="214"/>
      <c r="J3" s="213"/>
      <c r="K3" s="213"/>
      <c r="Q3" s="215"/>
      <c r="S3" s="213"/>
      <c r="T3" s="267" t="s">
        <v>5401</v>
      </c>
      <c r="U3" s="238">
        <v>564</v>
      </c>
      <c r="V3" s="238">
        <v>2340</v>
      </c>
      <c r="W3" s="238">
        <v>512</v>
      </c>
      <c r="X3" s="238">
        <v>1988</v>
      </c>
      <c r="Y3" s="238">
        <v>1330</v>
      </c>
      <c r="Z3" s="238">
        <f>Y3</f>
        <v>1330</v>
      </c>
      <c r="AA3" s="480">
        <v>19908</v>
      </c>
      <c r="AB3" s="481" t="s">
        <v>5749</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5750</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5365</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5366</v>
      </c>
      <c r="G13" s="225" t="s">
        <v>5308</v>
      </c>
      <c r="H13" s="224" t="s">
        <v>5360</v>
      </c>
      <c r="I13" s="223" t="s">
        <v>5363</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590206986</v>
      </c>
      <c r="C14" s="210" t="s">
        <v>5318</v>
      </c>
      <c r="F14" s="239" t="str" cm="1">
        <f t="array" aca="1" ref="F14" ca="1">MID(met2utc(PEPSSI_Commanding[[#This Row],[MET]]),3,15)</f>
        <v>24-276/20:31:10</v>
      </c>
      <c r="G14" s="213" t="str">
        <f t="shared" ref="G14:G45" si="15">_xlfn.TEXTJOIN("+",TRUE,$C14:$D14)</f>
        <v>OFF</v>
      </c>
      <c r="H14" s="214" t="str">
        <f t="shared" ref="H14:H45" si="16">IF($C14="ON",$B14,IF(RIGHT($H13,9)="MET Start","",IF(AND($K14&lt;&gt;0,$K13=1),$B14,$H13)))</f>
        <v/>
      </c>
      <c r="I14" s="214">
        <f t="shared" ref="I14:I45" si="17">IF($C14="OFF",$B14,IF($B15="",$B14+31500000,IF($K14=1,$B15,I15)))</f>
        <v>590206986</v>
      </c>
      <c r="J14" s="213" t="str">
        <f t="shared" ref="J14:J45" si="18">IF($G14="ON",0,IF(OR(J13="",LEFT(J13,6)="Offset"),"",J13+1))</f>
        <v/>
      </c>
      <c r="K14" s="213">
        <f t="shared" ref="K14:K45" si="19">IF($G14="OFF",0,IF(AND($J15&lt;&gt;0,$J14&lt;&gt;9,$G15&lt;&gt;"MAC+111",($B15-$B14)&lt;7200),K15+1,1))</f>
        <v>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IF(OR($C14="ON",$G14="MAC+101",AND($C14="MAC",105&lt;=$D14,$D14&lt;=110)),"",IF(OR($G14="MAC+103",$G14="MAC+104",$G14="MAC+111"),"disabled",IF(Q13="N2 disabled","",Q13)))</f>
        <v/>
      </c>
      <c r="R14" s="210" t="str">
        <f t="shared" ref="R14:R45" si="25">IF(OR($G14="ON",$G14="MAC+111"),"",IF($G14="MAC+105",300,IF(OR($G14="MAC+106",$G14="MAC+101"),600,IF($G14="MAC+107",840,IF($G14="MAC+108",1200,IF($G14="MAC+109",1800,IF($G14="MAC+110",43200,IF(LEFT(R13,4)="105-","",R13))))))))</f>
        <v/>
      </c>
      <c r="S14" s="210" t="str">
        <f t="shared" ref="S14:S45" si="26">IF($C14="ON","",IF($G14="MAC+102","102",IF(RIGHT(S13,1)="?","",S13)))</f>
        <v/>
      </c>
      <c r="U14" s="482">
        <f t="shared" ref="U14:U45" si="27">IF(OR($N14="",$R14=""),0,U$1/64/$N14)</f>
        <v>0</v>
      </c>
      <c r="V14" s="482">
        <f t="shared" ref="V14:V45" si="28">IF(OR($N14="",$R14=""),0,V$1/64/$N14)</f>
        <v>0</v>
      </c>
      <c r="W14" s="482">
        <f t="shared" ref="W14:W45" si="29">IF($P14="",0,W$1/$P14)</f>
        <v>0</v>
      </c>
      <c r="X14" s="482">
        <f t="shared" ref="X14:X45" si="30">IF($M14="",0,X$1/$M14)</f>
        <v>0</v>
      </c>
      <c r="Y14" s="482">
        <f t="shared" ref="Y14:Y45" si="31">IF(OR($N14="",$Q14&lt;&gt;""),0,Y$1/$N14)</f>
        <v>0</v>
      </c>
      <c r="Z14" s="482">
        <f t="shared" ref="Z14:Z45" si="32">IF($N14="",0,IF($R14="",1,R14/43200)*Y14)</f>
        <v>0</v>
      </c>
      <c r="AA14" s="482">
        <f t="shared" ref="AA14:AA45" si="33">IF($O14="",0,AA$1/$O14)</f>
        <v>0</v>
      </c>
      <c r="AB14" s="243"/>
      <c r="AC14" s="482">
        <f t="shared" ref="AC14:AC45" si="34">IF(AC$3&lt;&gt;"",$W14,0)+IF(AC$4&lt;&gt;"",$U14,0)+IF(AC$5&lt;&gt;"",$Z14+IF($S14&lt;&gt;"102",$V14,0),0)+IF(AC$6&lt;&gt;"",$AA14+IF($S14="102",$V14,0),0)+IF(AC$7&lt;&gt;"",$X14,0)</f>
        <v>0</v>
      </c>
      <c r="AD14" s="482">
        <f t="shared" ref="AD14:AD45" si="35">IF(AD$3&lt;&gt;"",$W14,0)+IF(AD$4&lt;&gt;"",$U14,0)+IF(AD$5&lt;&gt;"",$Z14+IF($S14&lt;&gt;"102",$V14,0),0)+IF(AD$6&lt;&gt;"",$AA14+IF($S14="102",$V14,0),0)+IF(AD$7&lt;&gt;"",$X14,0)</f>
        <v>0</v>
      </c>
      <c r="AE14" s="482">
        <f t="shared" ref="AE14:AE45" si="36">IF(AE$3&lt;&gt;"",$W14,0)+IF(AE$4&lt;&gt;"",$U14,0)+IF(AE$5&lt;&gt;"",$Z14+IF($S14&lt;&gt;"102",$V14,0),0)+IF(AE$6&lt;&gt;"",$AA14+IF($S14="102",$V14,0),0)+IF(AE$7&lt;&gt;"",$X14,0)</f>
        <v>0</v>
      </c>
      <c r="AF14" s="482">
        <f t="shared" ref="AF14:AF45" si="37">IF(AF$3&lt;&gt;"",$W14,0)+IF(AF$4&lt;&gt;"",$U14,0)+IF(AF$5&lt;&gt;"",$Z14+IF($S14&lt;&gt;"102",$V14,0),0)+IF(AF$6&lt;&gt;"",$AA14+IF($S14="102",$V14,0),0)+IF(AF$7&lt;&gt;"",$X14,0)</f>
        <v>0</v>
      </c>
      <c r="AG14" s="482">
        <f t="shared" ref="AG14:AG45" si="38">IF(AG$3&lt;&gt;"",$W14,0)+IF(AG$4&lt;&gt;"",$U14,0)+IF(AG$5&lt;&gt;"",$Z14+IF($S14&lt;&gt;"102",$V14,0),0)+IF(AG$6&lt;&gt;"",$AA14+IF($S14="102",$V14,0),0)+IF(AG$7&lt;&gt;"",$X14,0)</f>
        <v>0</v>
      </c>
      <c r="AH14" s="482">
        <f t="shared" ref="AH14:AH45" si="39">IF(AH$3&lt;&gt;"",$W14,0)+IF(AH$4&lt;&gt;"",$U14,0)+IF(AH$5&lt;&gt;"",$Z14+IF($S14&lt;&gt;"102",$V14,0),0)+IF(AH$6&lt;&gt;"",$AA14+IF($S14="102",$V14,0),0)+IF(AH$7&lt;&gt;"",$X14,0)</f>
        <v>0</v>
      </c>
      <c r="AI14" s="482">
        <f t="shared" ref="AI14:AI45" si="40">IF(AI$3&lt;&gt;"",$W14,0)+IF(AI$4&lt;&gt;"",$U14,0)+IF(AI$5&lt;&gt;"",$Z14+IF($S14&lt;&gt;"102",$V14,0),0)+IF(AI$6&lt;&gt;"",$AA14+IF($S14="102",$V14,0),0)+IF(AI$7&lt;&gt;"",$X14,0)</f>
        <v>0</v>
      </c>
      <c r="AJ14" s="482">
        <f t="shared" ref="AJ14:AJ45" si="41">IF(AJ$3&lt;&gt;"",$W14,0)+IF(AJ$4&lt;&gt;"",$U14,0)+IF(AJ$5&lt;&gt;"",$Z14+IF($S14&lt;&gt;"102",$V14,0),0)+IF(AJ$6&lt;&gt;"",$AA14+IF($S14="102",$V14,0),0)+IF(AJ$7&lt;&gt;"",$X14,0)</f>
        <v>0</v>
      </c>
      <c r="AK14" s="482">
        <f t="shared" ref="AK14:AK45" si="42">IF(AK$3&lt;&gt;"",$W14,0)+IF(AK$4&lt;&gt;"",$U14,0)+IF(AK$5&lt;&gt;"",$Z14+IF($S14&lt;&gt;"102",$V14,0),0)+IF(AK$6&lt;&gt;"",$AA14+IF($S14="102",$V14,0),0)+IF(AK$7&lt;&gt;"",$X14,0)</f>
        <v>0</v>
      </c>
      <c r="AL14" s="482">
        <f t="shared" ref="AL14:AL45" si="43">IF(AL$3&lt;&gt;"",$W14,0)+IF(AL$4&lt;&gt;"",$U14,0)+IF(AL$5&lt;&gt;"",$Z14+IF($S14&lt;&gt;"102",$V14,0),0)+IF(AL$6&lt;&gt;"",$AA14+IF($S14="102",$V14,0),0)+IF(AL$7&lt;&gt;"",$X14,0)</f>
        <v>0</v>
      </c>
      <c r="AM14" s="482">
        <f t="shared" ref="AM14:AM45" si="44">IF(AM$3&lt;&gt;"",$W14,0)+IF(AM$4&lt;&gt;"",$U14,0)+IF(AM$5&lt;&gt;"",$Z14+IF($S14&lt;&gt;"102",$V14,0),0)+IF(AM$6&lt;&gt;"",$AA14+IF($S14="102",$V14,0),0)+IF(AM$7&lt;&gt;"",$X14,0)</f>
        <v>0</v>
      </c>
      <c r="AN14" s="482">
        <f t="shared" ref="AN14:AN45" si="45">IF(AN$3&lt;&gt;"",$W14,0)+IF(AN$4&lt;&gt;"",$U14,0)+IF(AN$5&lt;&gt;"",$Z14+IF($S14&lt;&gt;"102",$V14,0),0)+IF(AN$6&lt;&gt;"",$AA14+IF($S14="102",$V14,0),0)+IF(AN$7&lt;&gt;"",$X14,0)</f>
        <v>0</v>
      </c>
      <c r="AO14" s="482">
        <f t="shared" ref="AO14:AO45" si="46">IF(AO$3&lt;&gt;"",$W14,0)+IF(AO$4&lt;&gt;"",$U14,0)+IF(AO$5&lt;&gt;"",$Z14+IF($S14&lt;&gt;"102",$V14,0),0)+IF(AO$6&lt;&gt;"",$AA14+IF($S14="102",$V14,0),0)+IF(AO$7&lt;&gt;"",$X14,0)</f>
        <v>0</v>
      </c>
      <c r="AP14" s="482">
        <f t="shared" ref="AP14:AP45" si="47">IF(AP$3&lt;&gt;"",$W14,0)+IF(AP$4&lt;&gt;"",$U14,0)+IF(AP$5&lt;&gt;"",$Z14+IF($S14&lt;&gt;"102",$V14,0),0)+IF(AP$6&lt;&gt;"",$AA14+IF($S14="102",$V14,0),0)+IF(AP$7&lt;&gt;"",$X14,0)</f>
        <v>0</v>
      </c>
      <c r="AQ14" s="482">
        <f t="shared" ref="AQ14:AQ45" si="48">IF(AQ$3&lt;&gt;"",$W14,0)+IF(AQ$4&lt;&gt;"",$U14,0)+IF(AQ$5&lt;&gt;"",$Z14+IF($S14&lt;&gt;"102",$V14,0),0)+IF(AQ$6&lt;&gt;"",$AA14+IF($S14="102",$V14,0),0)+IF(AQ$7&lt;&gt;"",$X14,0)</f>
        <v>0</v>
      </c>
      <c r="AR14" s="482">
        <f t="shared" ref="AR14:AR45" si="49">IF(AR$3&lt;&gt;"",$W14,0)+IF(AR$4&lt;&gt;"",$U14,0)+IF(AR$5&lt;&gt;"",$Z14+IF($S14&lt;&gt;"102",$V14,0),0)+IF(AR$6&lt;&gt;"",$AA14+IF($S14="102",$V14,0),0)+IF(AR$7&lt;&gt;"",$X14,0)</f>
        <v>0</v>
      </c>
      <c r="AS14" s="482">
        <f t="shared" ref="AS14:AS45" si="50">IF(AS$3&lt;&gt;"",$W14,0)+IF(AS$4&lt;&gt;"",$U14,0)+IF(AS$5&lt;&gt;"",$Z14+IF($S14&lt;&gt;"102",$V14,0),0)+IF(AS$6&lt;&gt;"",$AA14+IF($S14="102",$V14,0),0)+IF(AS$7&lt;&gt;"",$X14,0)</f>
        <v>0</v>
      </c>
      <c r="AT14" s="482">
        <f t="shared" ref="AT14:AT45" si="51">IF(AT$3&lt;&gt;"",$W14,0)+IF(AT$4&lt;&gt;"",$U14,0)+IF(AT$5&lt;&gt;"",$Z14+IF($S14&lt;&gt;"102",$V14,0),0)+IF(AT$6&lt;&gt;"",$AA14+IF($S14="102",$V14,0),0)+IF(AT$7&lt;&gt;"",$X14,0)</f>
        <v>0</v>
      </c>
      <c r="AU14" s="482">
        <f t="shared" ref="AU14:AU45" si="52">IF(AU$3&lt;&gt;"",$W14,0)+IF(AU$4&lt;&gt;"",$U14,0)+IF(AU$5&lt;&gt;"",$Z14+IF($S14&lt;&gt;"102",$V14,0),0)+IF(AU$6&lt;&gt;"",$AA14+IF($S14="102",$V14,0),0)+IF(AU$7&lt;&gt;"",$X14,0)</f>
        <v>0</v>
      </c>
      <c r="AV14" s="482">
        <f t="shared" ref="AV14:AV45" si="53">IF(AV$3&lt;&gt;"",$W14,0)+IF(AV$4&lt;&gt;"",$U14,0)+IF(AV$5&lt;&gt;"",$Z14+IF($S14&lt;&gt;"102",$V14,0),0)+IF(AV$6&lt;&gt;"",$AA14+IF($S14="102",$V14,0),0)+IF(AV$7&lt;&gt;"",$X14,0)</f>
        <v>0</v>
      </c>
      <c r="AW14" s="482">
        <f t="shared" ref="AW14:AW45" si="54">IF(AW$3&lt;&gt;"",$W14,0)+IF(AW$4&lt;&gt;"",$U14,0)+IF(AW$5&lt;&gt;"",$Z14+IF($S14&lt;&gt;"102",$V14,0),0)+IF(AW$6&lt;&gt;"",$AA14+IF($S14="102",$V14,0),0)+IF(AW$7&lt;&gt;"",$X14,0)</f>
        <v>0</v>
      </c>
      <c r="AX14" s="482">
        <f t="shared" ref="AX14:AX45" si="55">IF(AX$3&lt;&gt;"",$W14,0)+IF(AX$4&lt;&gt;"",$U14,0)+IF(AX$5&lt;&gt;"",$Z14+IF($S14&lt;&gt;"102",$V14,0),0)+IF(AX$6&lt;&gt;"",$AA14+IF($S14="102",$V14,0),0)+IF(AX$7&lt;&gt;"",$X14,0)</f>
        <v>0</v>
      </c>
      <c r="AY14" s="482">
        <f t="shared" ref="AY14:AY45" si="56">IF(AY$3&lt;&gt;"",$W14,0)+IF(AY$4&lt;&gt;"",$U14,0)+IF(AY$5&lt;&gt;"",$Z14+IF($S14&lt;&gt;"102",$V14,0),0)+IF(AY$6&lt;&gt;"",$AA14+IF($S14="102",$V14,0),0)+IF(AY$7&lt;&gt;"",$X14,0)</f>
        <v>0</v>
      </c>
      <c r="AZ14" s="482">
        <f t="shared" ref="AZ14:AZ45" si="57">IF(AZ$3&lt;&gt;"",$W14,0)+IF(AZ$4&lt;&gt;"",$U14,0)+IF(AZ$5&lt;&gt;"",$Z14+IF($S14&lt;&gt;"102",$V14,0),0)+IF(AZ$6&lt;&gt;"",$AA14+IF($S14="102",$V14,0),0)+IF(AZ$7&lt;&gt;"",$X14,0)</f>
        <v>0</v>
      </c>
      <c r="BA14" s="482">
        <f t="shared" ref="BA14:BA45" si="58">IF(BA$3&lt;&gt;"",$W14,0)+IF(BA$4&lt;&gt;"",$U14,0)+IF(BA$5&lt;&gt;"",$Z14+IF($S14&lt;&gt;"102",$V14,0),0)+IF(BA$6&lt;&gt;"",$AA14+IF($S14="102",$V14,0),0)+IF(BA$7&lt;&gt;"",$X14,0)</f>
        <v>0</v>
      </c>
      <c r="BB14" s="482">
        <f t="shared" ref="BB14:BB45" si="59">IF(BB$3&lt;&gt;"",$W14,0)+IF(BB$4&lt;&gt;"",$U14,0)+IF(BB$5&lt;&gt;"",$Z14+IF($S14&lt;&gt;"102",$V14,0),0)+IF(BB$6&lt;&gt;"",$AA14+IF($S14="102",$V14,0),0)+IF(BB$7&lt;&gt;"",$X14,0)</f>
        <v>0</v>
      </c>
      <c r="BC14" s="482">
        <f t="shared" ref="BC14:BC45" si="60">IF(BC$3&lt;&gt;"",$W14,0)+IF(BC$4&lt;&gt;"",$U14,0)+IF(BC$5&lt;&gt;"",$Z14+IF($S14&lt;&gt;"102",$V14,0),0)+IF(BC$6&lt;&gt;"",$AA14+IF($S14="102",$V14,0),0)+IF(BC$7&lt;&gt;"",$X14,0)</f>
        <v>0</v>
      </c>
      <c r="BD14" s="482">
        <f t="shared" ref="BD14:BD45" si="61">IF(BD$3&lt;&gt;"",$W14,0)+IF(BD$4&lt;&gt;"",$U14,0)+IF(BD$5&lt;&gt;"",$Z14+IF($S14&lt;&gt;"102",$V14,0),0)+IF(BD$6&lt;&gt;"",$AA14+IF($S14="102",$V14,0),0)+IF(BD$7&lt;&gt;"",$X14,0)</f>
        <v>0</v>
      </c>
      <c r="BE14" s="482">
        <f t="shared" ref="BE14:BE45" si="62">IF(BE$3&lt;&gt;"",$W14,0)+IF(BE$4&lt;&gt;"",$U14,0)+IF(BE$5&lt;&gt;"",$Z14+IF($S14&lt;&gt;"102",$V14,0),0)+IF(BE$6&lt;&gt;"",$AA14+IF($S14="102",$V14,0),0)+IF(BE$7&lt;&gt;"",$X14,0)</f>
        <v>0</v>
      </c>
      <c r="BF14" s="482">
        <f t="shared" ref="BF14:BF45" si="63">IF(BF$3&lt;&gt;"",$W14,0)+IF(BF$4&lt;&gt;"",$U14,0)+IF(BF$5&lt;&gt;"",$Z14+IF($S14&lt;&gt;"102",$V14,0),0)+IF(BF$6&lt;&gt;"",$AA14+IF($S14="102",$V14,0),0)+IF(BF$7&lt;&gt;"",$X14,0)</f>
        <v>0</v>
      </c>
      <c r="BG14" s="482">
        <f t="shared" ref="BG14:BG45" si="64">IF(BG$3&lt;&gt;"",$W14,0)+IF(BG$4&lt;&gt;"",$U14,0)+IF(BG$5&lt;&gt;"",$Z14+IF($S14&lt;&gt;"102",$V14,0),0)+IF(BG$6&lt;&gt;"",$AA14+IF($S14="102",$V14,0),0)+IF(BG$7&lt;&gt;"",$X14,0)</f>
        <v>0</v>
      </c>
    </row>
    <row r="15" spans="1:59">
      <c r="A15" s="213" t="s">
        <v>5314</v>
      </c>
      <c r="B15" s="231">
        <v>590247716</v>
      </c>
      <c r="C15" s="210" t="s">
        <v>433</v>
      </c>
      <c r="F15" s="239" t="str" cm="1">
        <f t="array" aca="1" ref="F15" ca="1">MID(met2utc(PEPSSI_Commanding[[#This Row],[MET]]),3,15)</f>
        <v>24-277/07:50:00</v>
      </c>
      <c r="G15" s="213" t="str">
        <f t="shared" si="15"/>
        <v>ON</v>
      </c>
      <c r="H15" s="214">
        <f t="shared" si="16"/>
        <v>590247716</v>
      </c>
      <c r="I15" s="214">
        <f t="shared" si="17"/>
        <v>590249566</v>
      </c>
      <c r="J15" s="213">
        <f t="shared" si="18"/>
        <v>0</v>
      </c>
      <c r="K15" s="213">
        <f t="shared" si="19"/>
        <v>10</v>
      </c>
      <c r="M15" s="210" t="str">
        <f t="shared" si="20"/>
        <v/>
      </c>
      <c r="N15" s="210" t="str">
        <f t="shared" si="21"/>
        <v/>
      </c>
      <c r="O15" s="210" t="str">
        <f t="shared" si="22"/>
        <v/>
      </c>
      <c r="P15" s="210" t="str">
        <f t="shared" si="23"/>
        <v/>
      </c>
      <c r="Q15" s="210" t="str">
        <f t="shared" si="24"/>
        <v/>
      </c>
      <c r="R15" s="210" t="str">
        <f t="shared" si="25"/>
        <v/>
      </c>
      <c r="S15" s="210" t="str">
        <f>IF($C15="ON","",IF($G15="MAC+102","102",IF(RIGHT(S14,1)="?","",S14)))</f>
        <v/>
      </c>
      <c r="U15" s="482">
        <f t="shared" si="27"/>
        <v>0</v>
      </c>
      <c r="V15" s="482">
        <f t="shared" si="28"/>
        <v>0</v>
      </c>
      <c r="W15" s="482">
        <f t="shared" si="29"/>
        <v>0</v>
      </c>
      <c r="X15" s="482">
        <f t="shared" si="30"/>
        <v>0</v>
      </c>
      <c r="Y15" s="482">
        <f t="shared" si="31"/>
        <v>0</v>
      </c>
      <c r="Z15" s="482">
        <f t="shared" si="32"/>
        <v>0</v>
      </c>
      <c r="AA15" s="482">
        <f t="shared" si="33"/>
        <v>0</v>
      </c>
      <c r="AB15" s="243"/>
      <c r="AC15" s="482">
        <f t="shared" si="34"/>
        <v>0</v>
      </c>
      <c r="AD15" s="482">
        <f t="shared" si="35"/>
        <v>0</v>
      </c>
      <c r="AE15" s="482">
        <f t="shared" si="36"/>
        <v>0</v>
      </c>
      <c r="AF15" s="482">
        <f t="shared" si="37"/>
        <v>0</v>
      </c>
      <c r="AG15" s="482">
        <f t="shared" si="38"/>
        <v>0</v>
      </c>
      <c r="AH15" s="482">
        <f t="shared" si="39"/>
        <v>0</v>
      </c>
      <c r="AI15" s="482">
        <f t="shared" si="40"/>
        <v>0</v>
      </c>
      <c r="AJ15" s="482">
        <f t="shared" si="41"/>
        <v>0</v>
      </c>
      <c r="AK15" s="482">
        <f t="shared" si="42"/>
        <v>0</v>
      </c>
      <c r="AL15" s="482">
        <f t="shared" si="43"/>
        <v>0</v>
      </c>
      <c r="AM15" s="482">
        <f t="shared" si="44"/>
        <v>0</v>
      </c>
      <c r="AN15" s="482">
        <f t="shared" si="45"/>
        <v>0</v>
      </c>
      <c r="AO15" s="482">
        <f t="shared" si="46"/>
        <v>0</v>
      </c>
      <c r="AP15" s="482">
        <f t="shared" si="47"/>
        <v>0</v>
      </c>
      <c r="AQ15" s="482">
        <f t="shared" si="48"/>
        <v>0</v>
      </c>
      <c r="AR15" s="482">
        <f t="shared" si="49"/>
        <v>0</v>
      </c>
      <c r="AS15" s="482">
        <f t="shared" si="50"/>
        <v>0</v>
      </c>
      <c r="AT15" s="482">
        <f t="shared" si="51"/>
        <v>0</v>
      </c>
      <c r="AU15" s="482">
        <f t="shared" si="52"/>
        <v>0</v>
      </c>
      <c r="AV15" s="482">
        <f t="shared" si="53"/>
        <v>0</v>
      </c>
      <c r="AW15" s="482">
        <f t="shared" si="54"/>
        <v>0</v>
      </c>
      <c r="AX15" s="482">
        <f t="shared" si="55"/>
        <v>0</v>
      </c>
      <c r="AY15" s="482">
        <f t="shared" si="56"/>
        <v>0</v>
      </c>
      <c r="AZ15" s="482">
        <f t="shared" si="57"/>
        <v>0</v>
      </c>
      <c r="BA15" s="482">
        <f t="shared" si="58"/>
        <v>0</v>
      </c>
      <c r="BB15" s="482">
        <f t="shared" si="59"/>
        <v>0</v>
      </c>
      <c r="BC15" s="482">
        <f t="shared" si="60"/>
        <v>0</v>
      </c>
      <c r="BD15" s="482">
        <f t="shared" si="61"/>
        <v>0</v>
      </c>
      <c r="BE15" s="482">
        <f t="shared" si="62"/>
        <v>0</v>
      </c>
      <c r="BF15" s="482">
        <f t="shared" si="63"/>
        <v>0</v>
      </c>
      <c r="BG15" s="482">
        <f t="shared" si="64"/>
        <v>0</v>
      </c>
    </row>
    <row r="16" spans="1:59">
      <c r="A16" s="213" t="s">
        <v>5315</v>
      </c>
      <c r="B16" s="231">
        <v>590247761</v>
      </c>
      <c r="C16" s="210" t="s">
        <v>5285</v>
      </c>
      <c r="D16" s="210">
        <v>10</v>
      </c>
      <c r="F16" s="239" t="str" cm="1">
        <f t="array" aca="1" ref="F16" ca="1">MID(met2utc(PEPSSI_Commanding[[#This Row],[MET]]),3,15)</f>
        <v>24-277/07:50:45</v>
      </c>
      <c r="G16" s="213" t="str">
        <f t="shared" si="15"/>
        <v>MAC+10</v>
      </c>
      <c r="H16" s="214">
        <f t="shared" si="16"/>
        <v>590247716</v>
      </c>
      <c r="I16" s="214">
        <f t="shared" si="17"/>
        <v>590249566</v>
      </c>
      <c r="J16" s="213">
        <f t="shared" si="18"/>
        <v>1</v>
      </c>
      <c r="K16" s="213">
        <f t="shared" si="19"/>
        <v>9</v>
      </c>
      <c r="M16" s="210" t="str">
        <f t="shared" si="20"/>
        <v/>
      </c>
      <c r="N16" s="210" t="str">
        <f t="shared" si="21"/>
        <v/>
      </c>
      <c r="O16" s="210" t="str">
        <f t="shared" si="22"/>
        <v/>
      </c>
      <c r="P16" s="210" t="str">
        <f t="shared" si="23"/>
        <v/>
      </c>
      <c r="Q16" s="210" t="str">
        <f t="shared" si="24"/>
        <v/>
      </c>
      <c r="R16" s="210" t="str">
        <f t="shared" si="25"/>
        <v/>
      </c>
      <c r="S16" s="210" t="str">
        <f t="shared" si="26"/>
        <v/>
      </c>
      <c r="U16" s="482">
        <f t="shared" si="27"/>
        <v>0</v>
      </c>
      <c r="V16" s="482">
        <f t="shared" si="28"/>
        <v>0</v>
      </c>
      <c r="W16" s="482">
        <f t="shared" si="29"/>
        <v>0</v>
      </c>
      <c r="X16" s="482">
        <f t="shared" si="30"/>
        <v>0</v>
      </c>
      <c r="Y16" s="482">
        <f t="shared" si="31"/>
        <v>0</v>
      </c>
      <c r="Z16" s="482">
        <f t="shared" si="32"/>
        <v>0</v>
      </c>
      <c r="AA16" s="482">
        <f t="shared" si="33"/>
        <v>0</v>
      </c>
      <c r="AB16" s="243"/>
      <c r="AC16" s="482">
        <f t="shared" si="34"/>
        <v>0</v>
      </c>
      <c r="AD16" s="482">
        <f t="shared" si="35"/>
        <v>0</v>
      </c>
      <c r="AE16" s="482">
        <f t="shared" si="36"/>
        <v>0</v>
      </c>
      <c r="AF16" s="482">
        <f t="shared" si="37"/>
        <v>0</v>
      </c>
      <c r="AG16" s="482">
        <f t="shared" si="38"/>
        <v>0</v>
      </c>
      <c r="AH16" s="482">
        <f t="shared" si="39"/>
        <v>0</v>
      </c>
      <c r="AI16" s="482">
        <f t="shared" si="40"/>
        <v>0</v>
      </c>
      <c r="AJ16" s="482">
        <f t="shared" si="41"/>
        <v>0</v>
      </c>
      <c r="AK16" s="482">
        <f t="shared" si="42"/>
        <v>0</v>
      </c>
      <c r="AL16" s="482">
        <f t="shared" si="43"/>
        <v>0</v>
      </c>
      <c r="AM16" s="482">
        <f t="shared" si="44"/>
        <v>0</v>
      </c>
      <c r="AN16" s="482">
        <f t="shared" si="45"/>
        <v>0</v>
      </c>
      <c r="AO16" s="482">
        <f t="shared" si="46"/>
        <v>0</v>
      </c>
      <c r="AP16" s="482">
        <f t="shared" si="47"/>
        <v>0</v>
      </c>
      <c r="AQ16" s="482">
        <f t="shared" si="48"/>
        <v>0</v>
      </c>
      <c r="AR16" s="482">
        <f t="shared" si="49"/>
        <v>0</v>
      </c>
      <c r="AS16" s="482">
        <f t="shared" si="50"/>
        <v>0</v>
      </c>
      <c r="AT16" s="482">
        <f t="shared" si="51"/>
        <v>0</v>
      </c>
      <c r="AU16" s="482">
        <f t="shared" si="52"/>
        <v>0</v>
      </c>
      <c r="AV16" s="482">
        <f t="shared" si="53"/>
        <v>0</v>
      </c>
      <c r="AW16" s="482">
        <f t="shared" si="54"/>
        <v>0</v>
      </c>
      <c r="AX16" s="482">
        <f t="shared" si="55"/>
        <v>0</v>
      </c>
      <c r="AY16" s="482">
        <f t="shared" si="56"/>
        <v>0</v>
      </c>
      <c r="AZ16" s="482">
        <f t="shared" si="57"/>
        <v>0</v>
      </c>
      <c r="BA16" s="482">
        <f t="shared" si="58"/>
        <v>0</v>
      </c>
      <c r="BB16" s="482">
        <f t="shared" si="59"/>
        <v>0</v>
      </c>
      <c r="BC16" s="482">
        <f t="shared" si="60"/>
        <v>0</v>
      </c>
      <c r="BD16" s="482">
        <f t="shared" si="61"/>
        <v>0</v>
      </c>
      <c r="BE16" s="482">
        <f t="shared" si="62"/>
        <v>0</v>
      </c>
      <c r="BF16" s="482">
        <f t="shared" si="63"/>
        <v>0</v>
      </c>
      <c r="BG16" s="482">
        <f t="shared" si="64"/>
        <v>0</v>
      </c>
    </row>
    <row r="17" spans="1:59">
      <c r="A17" s="213" t="s">
        <v>5316</v>
      </c>
      <c r="B17" s="231">
        <v>590247761</v>
      </c>
      <c r="C17" s="210" t="s">
        <v>61</v>
      </c>
      <c r="D17" s="210">
        <v>10</v>
      </c>
      <c r="F17" s="239" t="str" cm="1">
        <f t="array" aca="1" ref="F17" ca="1">MID(met2utc(PEPSSI_Commanding[[#This Row],[MET]]),3,15)</f>
        <v>24-277/07:50:45</v>
      </c>
      <c r="G17" s="213" t="str">
        <f t="shared" si="15"/>
        <v>N2+10</v>
      </c>
      <c r="H17" s="214">
        <f t="shared" si="16"/>
        <v>590247716</v>
      </c>
      <c r="I17" s="214">
        <f t="shared" si="17"/>
        <v>590249566</v>
      </c>
      <c r="J17" s="213">
        <f t="shared" si="18"/>
        <v>2</v>
      </c>
      <c r="K17" s="213">
        <f t="shared" si="19"/>
        <v>8</v>
      </c>
      <c r="M17" s="210" t="str">
        <f t="shared" si="20"/>
        <v/>
      </c>
      <c r="N17" s="210">
        <f t="shared" si="21"/>
        <v>10</v>
      </c>
      <c r="O17" s="210" t="str">
        <f t="shared" si="22"/>
        <v/>
      </c>
      <c r="P17" s="210" t="str">
        <f t="shared" si="23"/>
        <v/>
      </c>
      <c r="Q17" s="210" t="str">
        <f t="shared" si="24"/>
        <v/>
      </c>
      <c r="R17" s="210" t="str">
        <f t="shared" si="25"/>
        <v/>
      </c>
      <c r="S17" s="210" t="str">
        <f t="shared" si="26"/>
        <v/>
      </c>
      <c r="U17" s="482">
        <f t="shared" si="27"/>
        <v>0</v>
      </c>
      <c r="V17" s="482">
        <f t="shared" si="28"/>
        <v>0</v>
      </c>
      <c r="W17" s="482">
        <f t="shared" si="29"/>
        <v>0</v>
      </c>
      <c r="X17" s="482">
        <f t="shared" si="30"/>
        <v>0</v>
      </c>
      <c r="Y17" s="482">
        <f t="shared" si="31"/>
        <v>133</v>
      </c>
      <c r="Z17" s="482">
        <f t="shared" si="32"/>
        <v>133</v>
      </c>
      <c r="AA17" s="482">
        <f t="shared" si="33"/>
        <v>0</v>
      </c>
      <c r="AB17" s="243"/>
      <c r="AC17" s="482">
        <f t="shared" si="34"/>
        <v>0</v>
      </c>
      <c r="AD17" s="482">
        <f t="shared" si="35"/>
        <v>0</v>
      </c>
      <c r="AE17" s="482">
        <f t="shared" si="36"/>
        <v>0</v>
      </c>
      <c r="AF17" s="482">
        <f t="shared" si="37"/>
        <v>133</v>
      </c>
      <c r="AG17" s="482">
        <f t="shared" si="38"/>
        <v>133</v>
      </c>
      <c r="AH17" s="482">
        <f t="shared" si="39"/>
        <v>133</v>
      </c>
      <c r="AI17" s="482">
        <f t="shared" si="40"/>
        <v>133</v>
      </c>
      <c r="AJ17" s="482">
        <f t="shared" si="41"/>
        <v>0</v>
      </c>
      <c r="AK17" s="482">
        <f t="shared" si="42"/>
        <v>0</v>
      </c>
      <c r="AL17" s="482">
        <f t="shared" si="43"/>
        <v>0</v>
      </c>
      <c r="AM17" s="482">
        <f t="shared" si="44"/>
        <v>0</v>
      </c>
      <c r="AN17" s="482">
        <f t="shared" si="45"/>
        <v>133</v>
      </c>
      <c r="AO17" s="482">
        <f t="shared" si="46"/>
        <v>133</v>
      </c>
      <c r="AP17" s="482">
        <f t="shared" si="47"/>
        <v>133</v>
      </c>
      <c r="AQ17" s="482">
        <f t="shared" si="48"/>
        <v>133</v>
      </c>
      <c r="AR17" s="482">
        <f t="shared" si="49"/>
        <v>0</v>
      </c>
      <c r="AS17" s="482">
        <f t="shared" si="50"/>
        <v>0</v>
      </c>
      <c r="AT17" s="482">
        <f t="shared" si="51"/>
        <v>0</v>
      </c>
      <c r="AU17" s="482">
        <f t="shared" si="52"/>
        <v>0</v>
      </c>
      <c r="AV17" s="482">
        <f t="shared" si="53"/>
        <v>133</v>
      </c>
      <c r="AW17" s="482">
        <f t="shared" si="54"/>
        <v>133</v>
      </c>
      <c r="AX17" s="482">
        <f t="shared" si="55"/>
        <v>133</v>
      </c>
      <c r="AY17" s="482">
        <f t="shared" si="56"/>
        <v>133</v>
      </c>
      <c r="AZ17" s="482">
        <f t="shared" si="57"/>
        <v>0</v>
      </c>
      <c r="BA17" s="482">
        <f t="shared" si="58"/>
        <v>0</v>
      </c>
      <c r="BB17" s="482">
        <f t="shared" si="59"/>
        <v>0</v>
      </c>
      <c r="BC17" s="482">
        <f t="shared" si="60"/>
        <v>0</v>
      </c>
      <c r="BD17" s="482">
        <f t="shared" si="61"/>
        <v>133</v>
      </c>
      <c r="BE17" s="482">
        <f t="shared" si="62"/>
        <v>133</v>
      </c>
      <c r="BF17" s="482">
        <f t="shared" si="63"/>
        <v>133</v>
      </c>
      <c r="BG17" s="482">
        <f t="shared" si="64"/>
        <v>133</v>
      </c>
    </row>
    <row r="18" spans="1:59">
      <c r="A18" s="213" t="s">
        <v>5316</v>
      </c>
      <c r="B18" s="231">
        <v>590247762</v>
      </c>
      <c r="C18" s="210" t="s">
        <v>58</v>
      </c>
      <c r="D18" s="210">
        <v>300</v>
      </c>
      <c r="F18" s="239" t="str" cm="1">
        <f t="array" aca="1" ref="F18" ca="1">MID(met2utc(PEPSSI_Commanding[[#This Row],[MET]]),3,15)</f>
        <v>24-277/07:50:46</v>
      </c>
      <c r="G18" s="213" t="str">
        <f t="shared" si="15"/>
        <v>N3+300</v>
      </c>
      <c r="H18" s="214">
        <f t="shared" si="16"/>
        <v>590247716</v>
      </c>
      <c r="I18" s="214">
        <f t="shared" si="17"/>
        <v>590249566</v>
      </c>
      <c r="J18" s="213">
        <f t="shared" si="18"/>
        <v>3</v>
      </c>
      <c r="K18" s="213">
        <f t="shared" si="19"/>
        <v>7</v>
      </c>
      <c r="M18" s="210" t="str">
        <f t="shared" si="20"/>
        <v/>
      </c>
      <c r="N18" s="210">
        <f t="shared" si="21"/>
        <v>10</v>
      </c>
      <c r="O18" s="210">
        <f t="shared" si="22"/>
        <v>300</v>
      </c>
      <c r="P18" s="210" t="str">
        <f t="shared" si="23"/>
        <v/>
      </c>
      <c r="Q18" s="210" t="str">
        <f t="shared" si="24"/>
        <v/>
      </c>
      <c r="R18" s="210" t="str">
        <f t="shared" si="25"/>
        <v/>
      </c>
      <c r="S18" s="210" t="str">
        <f t="shared" si="26"/>
        <v/>
      </c>
      <c r="U18" s="482">
        <f t="shared" si="27"/>
        <v>0</v>
      </c>
      <c r="V18" s="482">
        <f t="shared" si="28"/>
        <v>0</v>
      </c>
      <c r="W18" s="482">
        <f t="shared" si="29"/>
        <v>0</v>
      </c>
      <c r="X18" s="482">
        <f t="shared" si="30"/>
        <v>0</v>
      </c>
      <c r="Y18" s="482">
        <f t="shared" si="31"/>
        <v>133</v>
      </c>
      <c r="Z18" s="482">
        <f t="shared" si="32"/>
        <v>133</v>
      </c>
      <c r="AA18" s="482">
        <f t="shared" si="33"/>
        <v>66.36</v>
      </c>
      <c r="AB18" s="243"/>
      <c r="AC18" s="482">
        <f t="shared" si="34"/>
        <v>0</v>
      </c>
      <c r="AD18" s="482">
        <f t="shared" si="35"/>
        <v>66.36</v>
      </c>
      <c r="AE18" s="482">
        <f t="shared" si="36"/>
        <v>66.36</v>
      </c>
      <c r="AF18" s="482">
        <f t="shared" si="37"/>
        <v>133</v>
      </c>
      <c r="AG18" s="482">
        <f t="shared" si="38"/>
        <v>133</v>
      </c>
      <c r="AH18" s="482">
        <f t="shared" si="39"/>
        <v>199.36</v>
      </c>
      <c r="AI18" s="482">
        <f t="shared" si="40"/>
        <v>199.36</v>
      </c>
      <c r="AJ18" s="482">
        <f t="shared" si="41"/>
        <v>0</v>
      </c>
      <c r="AK18" s="482">
        <f t="shared" si="42"/>
        <v>0</v>
      </c>
      <c r="AL18" s="482">
        <f t="shared" si="43"/>
        <v>66.36</v>
      </c>
      <c r="AM18" s="482">
        <f t="shared" si="44"/>
        <v>66.36</v>
      </c>
      <c r="AN18" s="482">
        <f t="shared" si="45"/>
        <v>133</v>
      </c>
      <c r="AO18" s="482">
        <f t="shared" si="46"/>
        <v>133</v>
      </c>
      <c r="AP18" s="482">
        <f t="shared" si="47"/>
        <v>199.36</v>
      </c>
      <c r="AQ18" s="482">
        <f t="shared" si="48"/>
        <v>199.36</v>
      </c>
      <c r="AR18" s="482">
        <f t="shared" si="49"/>
        <v>0</v>
      </c>
      <c r="AS18" s="482">
        <f t="shared" si="50"/>
        <v>0</v>
      </c>
      <c r="AT18" s="482">
        <f t="shared" si="51"/>
        <v>66.36</v>
      </c>
      <c r="AU18" s="482">
        <f t="shared" si="52"/>
        <v>66.36</v>
      </c>
      <c r="AV18" s="482">
        <f t="shared" si="53"/>
        <v>133</v>
      </c>
      <c r="AW18" s="482">
        <f t="shared" si="54"/>
        <v>133</v>
      </c>
      <c r="AX18" s="482">
        <f t="shared" si="55"/>
        <v>199.36</v>
      </c>
      <c r="AY18" s="482">
        <f t="shared" si="56"/>
        <v>199.36</v>
      </c>
      <c r="AZ18" s="482">
        <f t="shared" si="57"/>
        <v>0</v>
      </c>
      <c r="BA18" s="482">
        <f t="shared" si="58"/>
        <v>0</v>
      </c>
      <c r="BB18" s="482">
        <f t="shared" si="59"/>
        <v>66.36</v>
      </c>
      <c r="BC18" s="482">
        <f t="shared" si="60"/>
        <v>66.36</v>
      </c>
      <c r="BD18" s="482">
        <f t="shared" si="61"/>
        <v>133</v>
      </c>
      <c r="BE18" s="482">
        <f t="shared" si="62"/>
        <v>133</v>
      </c>
      <c r="BF18" s="482">
        <f t="shared" si="63"/>
        <v>199.36</v>
      </c>
      <c r="BG18" s="482">
        <f t="shared" si="64"/>
        <v>199.36</v>
      </c>
    </row>
    <row r="19" spans="1:59">
      <c r="A19" s="213" t="s">
        <v>5316</v>
      </c>
      <c r="B19" s="231">
        <v>590247763</v>
      </c>
      <c r="C19" s="210" t="s">
        <v>1</v>
      </c>
      <c r="D19" s="210">
        <v>10</v>
      </c>
      <c r="F19" s="239" t="str" cm="1">
        <f t="array" aca="1" ref="F19" ca="1">MID(met2utc(PEPSSI_Commanding[[#This Row],[MET]]),3,15)</f>
        <v>24-277/07:50:47</v>
      </c>
      <c r="G19" s="213" t="str">
        <f t="shared" si="15"/>
        <v>N1+10</v>
      </c>
      <c r="H19" s="214">
        <f t="shared" si="16"/>
        <v>590247716</v>
      </c>
      <c r="I19" s="214">
        <f t="shared" si="17"/>
        <v>590249566</v>
      </c>
      <c r="J19" s="213">
        <f t="shared" si="18"/>
        <v>4</v>
      </c>
      <c r="K19" s="213">
        <f t="shared" si="19"/>
        <v>6</v>
      </c>
      <c r="M19" s="210">
        <f t="shared" si="20"/>
        <v>10</v>
      </c>
      <c r="N19" s="210">
        <f t="shared" si="21"/>
        <v>10</v>
      </c>
      <c r="O19" s="210">
        <f t="shared" si="22"/>
        <v>300</v>
      </c>
      <c r="P19" s="210" t="str">
        <f t="shared" si="23"/>
        <v/>
      </c>
      <c r="Q19" s="210" t="str">
        <f t="shared" si="24"/>
        <v/>
      </c>
      <c r="R19" s="210" t="str">
        <f t="shared" si="25"/>
        <v/>
      </c>
      <c r="S19" s="210" t="str">
        <f t="shared" si="26"/>
        <v/>
      </c>
      <c r="U19" s="482">
        <f t="shared" si="27"/>
        <v>0</v>
      </c>
      <c r="V19" s="482">
        <f t="shared" si="28"/>
        <v>0</v>
      </c>
      <c r="W19" s="482">
        <f t="shared" si="29"/>
        <v>0</v>
      </c>
      <c r="X19" s="482">
        <f t="shared" si="30"/>
        <v>198.8</v>
      </c>
      <c r="Y19" s="482">
        <f t="shared" si="31"/>
        <v>133</v>
      </c>
      <c r="Z19" s="482">
        <f t="shared" si="32"/>
        <v>133</v>
      </c>
      <c r="AA19" s="482">
        <f t="shared" si="33"/>
        <v>66.36</v>
      </c>
      <c r="AB19" s="243"/>
      <c r="AC19" s="482">
        <f t="shared" si="34"/>
        <v>198.8</v>
      </c>
      <c r="AD19" s="482">
        <f t="shared" si="35"/>
        <v>66.36</v>
      </c>
      <c r="AE19" s="482">
        <f t="shared" si="36"/>
        <v>265.16000000000003</v>
      </c>
      <c r="AF19" s="482">
        <f t="shared" si="37"/>
        <v>133</v>
      </c>
      <c r="AG19" s="482">
        <f t="shared" si="38"/>
        <v>331.8</v>
      </c>
      <c r="AH19" s="482">
        <f t="shared" si="39"/>
        <v>199.36</v>
      </c>
      <c r="AI19" s="482">
        <f t="shared" si="40"/>
        <v>398.16</v>
      </c>
      <c r="AJ19" s="482">
        <f t="shared" si="41"/>
        <v>0</v>
      </c>
      <c r="AK19" s="482">
        <f t="shared" si="42"/>
        <v>198.8</v>
      </c>
      <c r="AL19" s="482">
        <f t="shared" si="43"/>
        <v>66.36</v>
      </c>
      <c r="AM19" s="482">
        <f t="shared" si="44"/>
        <v>265.16000000000003</v>
      </c>
      <c r="AN19" s="482">
        <f t="shared" si="45"/>
        <v>133</v>
      </c>
      <c r="AO19" s="482">
        <f t="shared" si="46"/>
        <v>331.8</v>
      </c>
      <c r="AP19" s="482">
        <f t="shared" si="47"/>
        <v>199.36</v>
      </c>
      <c r="AQ19" s="482">
        <f t="shared" si="48"/>
        <v>398.16</v>
      </c>
      <c r="AR19" s="482">
        <f t="shared" si="49"/>
        <v>0</v>
      </c>
      <c r="AS19" s="482">
        <f t="shared" si="50"/>
        <v>198.8</v>
      </c>
      <c r="AT19" s="482">
        <f t="shared" si="51"/>
        <v>66.36</v>
      </c>
      <c r="AU19" s="482">
        <f t="shared" si="52"/>
        <v>265.16000000000003</v>
      </c>
      <c r="AV19" s="482">
        <f t="shared" si="53"/>
        <v>133</v>
      </c>
      <c r="AW19" s="482">
        <f t="shared" si="54"/>
        <v>331.8</v>
      </c>
      <c r="AX19" s="482">
        <f t="shared" si="55"/>
        <v>199.36</v>
      </c>
      <c r="AY19" s="482">
        <f t="shared" si="56"/>
        <v>398.16</v>
      </c>
      <c r="AZ19" s="482">
        <f t="shared" si="57"/>
        <v>0</v>
      </c>
      <c r="BA19" s="482">
        <f t="shared" si="58"/>
        <v>198.8</v>
      </c>
      <c r="BB19" s="482">
        <f t="shared" si="59"/>
        <v>66.36</v>
      </c>
      <c r="BC19" s="482">
        <f t="shared" si="60"/>
        <v>265.16000000000003</v>
      </c>
      <c r="BD19" s="482">
        <f t="shared" si="61"/>
        <v>133</v>
      </c>
      <c r="BE19" s="482">
        <f t="shared" si="62"/>
        <v>331.8</v>
      </c>
      <c r="BF19" s="482">
        <f t="shared" si="63"/>
        <v>199.36</v>
      </c>
      <c r="BG19" s="482">
        <f t="shared" si="64"/>
        <v>398.16</v>
      </c>
    </row>
    <row r="20" spans="1:59">
      <c r="A20" s="213" t="s">
        <v>5317</v>
      </c>
      <c r="B20" s="231">
        <v>590247764</v>
      </c>
      <c r="C20" s="210" t="s">
        <v>5284</v>
      </c>
      <c r="D20" s="210">
        <v>1</v>
      </c>
      <c r="F20" s="239" t="str" cm="1">
        <f t="array" aca="1" ref="F20" ca="1">MID(met2utc(PEPSSI_Commanding[[#This Row],[MET]]),3,15)</f>
        <v>24-277/07:50:48</v>
      </c>
      <c r="G20" s="213" t="str">
        <f t="shared" si="15"/>
        <v>STAT+1</v>
      </c>
      <c r="H20" s="214">
        <f t="shared" si="16"/>
        <v>590247716</v>
      </c>
      <c r="I20" s="214">
        <f t="shared" si="17"/>
        <v>590249566</v>
      </c>
      <c r="J20" s="213">
        <f t="shared" si="18"/>
        <v>5</v>
      </c>
      <c r="K20" s="213">
        <f t="shared" si="19"/>
        <v>5</v>
      </c>
      <c r="M20" s="210">
        <f t="shared" si="20"/>
        <v>10</v>
      </c>
      <c r="N20" s="210">
        <f t="shared" si="21"/>
        <v>10</v>
      </c>
      <c r="O20" s="210">
        <f t="shared" si="22"/>
        <v>300</v>
      </c>
      <c r="P20" s="210">
        <f t="shared" si="23"/>
        <v>1</v>
      </c>
      <c r="Q20" s="210" t="str">
        <f t="shared" si="24"/>
        <v/>
      </c>
      <c r="R20" s="210" t="str">
        <f t="shared" si="25"/>
        <v/>
      </c>
      <c r="S20" s="210" t="str">
        <f t="shared" si="26"/>
        <v/>
      </c>
      <c r="U20" s="482">
        <f t="shared" si="27"/>
        <v>0</v>
      </c>
      <c r="V20" s="482">
        <f t="shared" si="28"/>
        <v>0</v>
      </c>
      <c r="W20" s="482">
        <f t="shared" si="29"/>
        <v>512</v>
      </c>
      <c r="X20" s="482">
        <f t="shared" si="30"/>
        <v>198.8</v>
      </c>
      <c r="Y20" s="482">
        <f t="shared" si="31"/>
        <v>133</v>
      </c>
      <c r="Z20" s="482">
        <f t="shared" si="32"/>
        <v>133</v>
      </c>
      <c r="AA20" s="482">
        <f t="shared" si="33"/>
        <v>66.36</v>
      </c>
      <c r="AB20" s="243"/>
      <c r="AC20" s="482">
        <f t="shared" si="34"/>
        <v>198.8</v>
      </c>
      <c r="AD20" s="482">
        <f t="shared" si="35"/>
        <v>66.36</v>
      </c>
      <c r="AE20" s="482">
        <f t="shared" si="36"/>
        <v>265.16000000000003</v>
      </c>
      <c r="AF20" s="482">
        <f t="shared" si="37"/>
        <v>133</v>
      </c>
      <c r="AG20" s="482">
        <f t="shared" si="38"/>
        <v>331.8</v>
      </c>
      <c r="AH20" s="482">
        <f t="shared" si="39"/>
        <v>199.36</v>
      </c>
      <c r="AI20" s="482">
        <f t="shared" si="40"/>
        <v>398.16</v>
      </c>
      <c r="AJ20" s="482">
        <f t="shared" si="41"/>
        <v>0</v>
      </c>
      <c r="AK20" s="482">
        <f t="shared" si="42"/>
        <v>198.8</v>
      </c>
      <c r="AL20" s="482">
        <f t="shared" si="43"/>
        <v>66.36</v>
      </c>
      <c r="AM20" s="482">
        <f t="shared" si="44"/>
        <v>265.16000000000003</v>
      </c>
      <c r="AN20" s="482">
        <f t="shared" si="45"/>
        <v>133</v>
      </c>
      <c r="AO20" s="482">
        <f t="shared" si="46"/>
        <v>331.8</v>
      </c>
      <c r="AP20" s="482">
        <f t="shared" si="47"/>
        <v>199.36</v>
      </c>
      <c r="AQ20" s="482">
        <f t="shared" si="48"/>
        <v>398.16</v>
      </c>
      <c r="AR20" s="482">
        <f t="shared" si="49"/>
        <v>512</v>
      </c>
      <c r="AS20" s="482">
        <f t="shared" si="50"/>
        <v>710.8</v>
      </c>
      <c r="AT20" s="482">
        <f t="shared" si="51"/>
        <v>578.36</v>
      </c>
      <c r="AU20" s="482">
        <f t="shared" si="52"/>
        <v>777.16000000000008</v>
      </c>
      <c r="AV20" s="482">
        <f t="shared" si="53"/>
        <v>645</v>
      </c>
      <c r="AW20" s="482">
        <f t="shared" si="54"/>
        <v>843.8</v>
      </c>
      <c r="AX20" s="482">
        <f t="shared" si="55"/>
        <v>711.36</v>
      </c>
      <c r="AY20" s="482">
        <f t="shared" si="56"/>
        <v>910.16000000000008</v>
      </c>
      <c r="AZ20" s="482">
        <f t="shared" si="57"/>
        <v>512</v>
      </c>
      <c r="BA20" s="482">
        <f t="shared" si="58"/>
        <v>710.8</v>
      </c>
      <c r="BB20" s="482">
        <f t="shared" si="59"/>
        <v>578.36</v>
      </c>
      <c r="BC20" s="482">
        <f t="shared" si="60"/>
        <v>777.16000000000008</v>
      </c>
      <c r="BD20" s="482">
        <f t="shared" si="61"/>
        <v>645</v>
      </c>
      <c r="BE20" s="482">
        <f t="shared" si="62"/>
        <v>843.8</v>
      </c>
      <c r="BF20" s="482">
        <f t="shared" si="63"/>
        <v>711.36</v>
      </c>
      <c r="BG20" s="482">
        <f t="shared" si="64"/>
        <v>910.16000000000008</v>
      </c>
    </row>
    <row r="21" spans="1:59">
      <c r="A21" s="213" t="s">
        <v>5316</v>
      </c>
      <c r="B21" s="231">
        <v>590249247</v>
      </c>
      <c r="C21" s="210" t="s">
        <v>61</v>
      </c>
      <c r="D21" s="210">
        <v>40</v>
      </c>
      <c r="F21" s="239" t="str" cm="1">
        <f t="array" aca="1" ref="F21" ca="1">MID(met2utc(PEPSSI_Commanding[[#This Row],[MET]]),3,15)</f>
        <v>24-277/08:15:31</v>
      </c>
      <c r="G21" s="213" t="str">
        <f t="shared" si="15"/>
        <v>N2+40</v>
      </c>
      <c r="H21" s="214">
        <f t="shared" si="16"/>
        <v>590247716</v>
      </c>
      <c r="I21" s="214">
        <f t="shared" si="17"/>
        <v>590249566</v>
      </c>
      <c r="J21" s="213">
        <f t="shared" si="18"/>
        <v>6</v>
      </c>
      <c r="K21" s="213">
        <f t="shared" si="19"/>
        <v>4</v>
      </c>
      <c r="M21" s="210">
        <f t="shared" si="20"/>
        <v>10</v>
      </c>
      <c r="N21" s="210">
        <f t="shared" si="21"/>
        <v>40</v>
      </c>
      <c r="O21" s="210">
        <f t="shared" si="22"/>
        <v>300</v>
      </c>
      <c r="P21" s="210">
        <f t="shared" si="23"/>
        <v>1</v>
      </c>
      <c r="Q21" s="210" t="str">
        <f t="shared" si="24"/>
        <v/>
      </c>
      <c r="R21" s="210" t="str">
        <f t="shared" si="25"/>
        <v/>
      </c>
      <c r="S21" s="210" t="str">
        <f t="shared" si="26"/>
        <v/>
      </c>
      <c r="U21" s="482">
        <f t="shared" si="27"/>
        <v>0</v>
      </c>
      <c r="V21" s="482">
        <f t="shared" si="28"/>
        <v>0</v>
      </c>
      <c r="W21" s="482">
        <f t="shared" si="29"/>
        <v>512</v>
      </c>
      <c r="X21" s="482">
        <f t="shared" si="30"/>
        <v>198.8</v>
      </c>
      <c r="Y21" s="482">
        <f t="shared" si="31"/>
        <v>33.25</v>
      </c>
      <c r="Z21" s="482">
        <f t="shared" si="32"/>
        <v>33.25</v>
      </c>
      <c r="AA21" s="482">
        <f t="shared" si="33"/>
        <v>66.36</v>
      </c>
      <c r="AB21" s="243"/>
      <c r="AC21" s="482">
        <f t="shared" si="34"/>
        <v>198.8</v>
      </c>
      <c r="AD21" s="482">
        <f t="shared" si="35"/>
        <v>66.36</v>
      </c>
      <c r="AE21" s="482">
        <f t="shared" si="36"/>
        <v>265.16000000000003</v>
      </c>
      <c r="AF21" s="482">
        <f t="shared" si="37"/>
        <v>33.25</v>
      </c>
      <c r="AG21" s="482">
        <f t="shared" si="38"/>
        <v>232.05</v>
      </c>
      <c r="AH21" s="482">
        <f t="shared" si="39"/>
        <v>99.61</v>
      </c>
      <c r="AI21" s="482">
        <f t="shared" si="40"/>
        <v>298.41000000000003</v>
      </c>
      <c r="AJ21" s="482">
        <f t="shared" si="41"/>
        <v>0</v>
      </c>
      <c r="AK21" s="482">
        <f t="shared" si="42"/>
        <v>198.8</v>
      </c>
      <c r="AL21" s="482">
        <f t="shared" si="43"/>
        <v>66.36</v>
      </c>
      <c r="AM21" s="482">
        <f t="shared" si="44"/>
        <v>265.16000000000003</v>
      </c>
      <c r="AN21" s="482">
        <f t="shared" si="45"/>
        <v>33.25</v>
      </c>
      <c r="AO21" s="482">
        <f t="shared" si="46"/>
        <v>232.05</v>
      </c>
      <c r="AP21" s="482">
        <f t="shared" si="47"/>
        <v>99.61</v>
      </c>
      <c r="AQ21" s="482">
        <f t="shared" si="48"/>
        <v>298.41000000000003</v>
      </c>
      <c r="AR21" s="482">
        <f t="shared" si="49"/>
        <v>512</v>
      </c>
      <c r="AS21" s="482">
        <f t="shared" si="50"/>
        <v>710.8</v>
      </c>
      <c r="AT21" s="482">
        <f t="shared" si="51"/>
        <v>578.36</v>
      </c>
      <c r="AU21" s="482">
        <f t="shared" si="52"/>
        <v>777.16000000000008</v>
      </c>
      <c r="AV21" s="482">
        <f t="shared" si="53"/>
        <v>545.25</v>
      </c>
      <c r="AW21" s="482">
        <f t="shared" si="54"/>
        <v>744.05</v>
      </c>
      <c r="AX21" s="482">
        <f t="shared" si="55"/>
        <v>611.61</v>
      </c>
      <c r="AY21" s="482">
        <f t="shared" si="56"/>
        <v>810.41000000000008</v>
      </c>
      <c r="AZ21" s="482">
        <f t="shared" si="57"/>
        <v>512</v>
      </c>
      <c r="BA21" s="482">
        <f t="shared" si="58"/>
        <v>710.8</v>
      </c>
      <c r="BB21" s="482">
        <f t="shared" si="59"/>
        <v>578.36</v>
      </c>
      <c r="BC21" s="482">
        <f t="shared" si="60"/>
        <v>777.16000000000008</v>
      </c>
      <c r="BD21" s="482">
        <f t="shared" si="61"/>
        <v>545.25</v>
      </c>
      <c r="BE21" s="482">
        <f t="shared" si="62"/>
        <v>744.05</v>
      </c>
      <c r="BF21" s="482">
        <f t="shared" si="63"/>
        <v>611.61</v>
      </c>
      <c r="BG21" s="482">
        <f t="shared" si="64"/>
        <v>810.41000000000008</v>
      </c>
    </row>
    <row r="22" spans="1:59">
      <c r="A22" s="213" t="s">
        <v>5316</v>
      </c>
      <c r="B22" s="231">
        <v>590249248</v>
      </c>
      <c r="C22" s="210" t="s">
        <v>58</v>
      </c>
      <c r="D22" s="210">
        <v>7200</v>
      </c>
      <c r="F22" s="239" t="str" cm="1">
        <f t="array" aca="1" ref="F22" ca="1">MID(met2utc(PEPSSI_Commanding[[#This Row],[MET]]),3,15)</f>
        <v>24-277/08:15:32</v>
      </c>
      <c r="G22" s="213" t="str">
        <f t="shared" si="15"/>
        <v>N3+7200</v>
      </c>
      <c r="H22" s="214">
        <f t="shared" si="16"/>
        <v>590247716</v>
      </c>
      <c r="I22" s="214">
        <f t="shared" si="17"/>
        <v>590249566</v>
      </c>
      <c r="J22" s="213">
        <f t="shared" si="18"/>
        <v>7</v>
      </c>
      <c r="K22" s="213">
        <f t="shared" si="19"/>
        <v>3</v>
      </c>
      <c r="M22" s="210">
        <f t="shared" si="20"/>
        <v>10</v>
      </c>
      <c r="N22" s="210">
        <f t="shared" si="21"/>
        <v>40</v>
      </c>
      <c r="O22" s="210">
        <f t="shared" si="22"/>
        <v>7200</v>
      </c>
      <c r="P22" s="210">
        <f t="shared" si="23"/>
        <v>1</v>
      </c>
      <c r="Q22" s="210" t="str">
        <f t="shared" si="24"/>
        <v/>
      </c>
      <c r="R22" s="210" t="str">
        <f t="shared" si="25"/>
        <v/>
      </c>
      <c r="S22" s="210" t="str">
        <f t="shared" si="26"/>
        <v/>
      </c>
      <c r="U22" s="482">
        <f t="shared" si="27"/>
        <v>0</v>
      </c>
      <c r="V22" s="482">
        <f t="shared" si="28"/>
        <v>0</v>
      </c>
      <c r="W22" s="482">
        <f t="shared" si="29"/>
        <v>512</v>
      </c>
      <c r="X22" s="482">
        <f t="shared" si="30"/>
        <v>198.8</v>
      </c>
      <c r="Y22" s="482">
        <f t="shared" si="31"/>
        <v>33.25</v>
      </c>
      <c r="Z22" s="482">
        <f t="shared" si="32"/>
        <v>33.25</v>
      </c>
      <c r="AA22" s="482">
        <f t="shared" si="33"/>
        <v>2.7650000000000001</v>
      </c>
      <c r="AB22" s="243"/>
      <c r="AC22" s="482">
        <f t="shared" si="34"/>
        <v>198.8</v>
      </c>
      <c r="AD22" s="482">
        <f t="shared" si="35"/>
        <v>2.7650000000000001</v>
      </c>
      <c r="AE22" s="482">
        <f t="shared" si="36"/>
        <v>201.565</v>
      </c>
      <c r="AF22" s="482">
        <f t="shared" si="37"/>
        <v>33.25</v>
      </c>
      <c r="AG22" s="482">
        <f t="shared" si="38"/>
        <v>232.05</v>
      </c>
      <c r="AH22" s="482">
        <f t="shared" si="39"/>
        <v>36.015000000000001</v>
      </c>
      <c r="AI22" s="482">
        <f t="shared" si="40"/>
        <v>234.815</v>
      </c>
      <c r="AJ22" s="482">
        <f t="shared" si="41"/>
        <v>0</v>
      </c>
      <c r="AK22" s="482">
        <f t="shared" si="42"/>
        <v>198.8</v>
      </c>
      <c r="AL22" s="482">
        <f t="shared" si="43"/>
        <v>2.7650000000000001</v>
      </c>
      <c r="AM22" s="482">
        <f t="shared" si="44"/>
        <v>201.565</v>
      </c>
      <c r="AN22" s="482">
        <f t="shared" si="45"/>
        <v>33.25</v>
      </c>
      <c r="AO22" s="482">
        <f t="shared" si="46"/>
        <v>232.05</v>
      </c>
      <c r="AP22" s="482">
        <f t="shared" si="47"/>
        <v>36.015000000000001</v>
      </c>
      <c r="AQ22" s="482">
        <f t="shared" si="48"/>
        <v>234.815</v>
      </c>
      <c r="AR22" s="482">
        <f t="shared" si="49"/>
        <v>512</v>
      </c>
      <c r="AS22" s="482">
        <f t="shared" si="50"/>
        <v>710.8</v>
      </c>
      <c r="AT22" s="482">
        <f t="shared" si="51"/>
        <v>514.76499999999999</v>
      </c>
      <c r="AU22" s="482">
        <f t="shared" si="52"/>
        <v>713.56500000000005</v>
      </c>
      <c r="AV22" s="482">
        <f t="shared" si="53"/>
        <v>545.25</v>
      </c>
      <c r="AW22" s="482">
        <f t="shared" si="54"/>
        <v>744.05</v>
      </c>
      <c r="AX22" s="482">
        <f t="shared" si="55"/>
        <v>548.01499999999999</v>
      </c>
      <c r="AY22" s="482">
        <f t="shared" si="56"/>
        <v>746.81500000000005</v>
      </c>
      <c r="AZ22" s="482">
        <f t="shared" si="57"/>
        <v>512</v>
      </c>
      <c r="BA22" s="482">
        <f t="shared" si="58"/>
        <v>710.8</v>
      </c>
      <c r="BB22" s="482">
        <f t="shared" si="59"/>
        <v>514.76499999999999</v>
      </c>
      <c r="BC22" s="482">
        <f t="shared" si="60"/>
        <v>713.56500000000005</v>
      </c>
      <c r="BD22" s="482">
        <f t="shared" si="61"/>
        <v>545.25</v>
      </c>
      <c r="BE22" s="482">
        <f t="shared" si="62"/>
        <v>744.05</v>
      </c>
      <c r="BF22" s="482">
        <f t="shared" si="63"/>
        <v>548.01499999999999</v>
      </c>
      <c r="BG22" s="482">
        <f t="shared" si="64"/>
        <v>746.81500000000005</v>
      </c>
    </row>
    <row r="23" spans="1:59">
      <c r="A23" s="213" t="s">
        <v>5316</v>
      </c>
      <c r="B23" s="231">
        <v>590249249</v>
      </c>
      <c r="C23" s="210" t="s">
        <v>1</v>
      </c>
      <c r="D23" s="210">
        <v>3600</v>
      </c>
      <c r="F23" s="239" t="str" cm="1">
        <f t="array" aca="1" ref="F23" ca="1">MID(met2utc(PEPSSI_Commanding[[#This Row],[MET]]),3,15)</f>
        <v>24-277/08:15:33</v>
      </c>
      <c r="G23" s="213" t="str">
        <f t="shared" si="15"/>
        <v>N1+3600</v>
      </c>
      <c r="H23" s="214">
        <f t="shared" si="16"/>
        <v>590247716</v>
      </c>
      <c r="I23" s="214">
        <f t="shared" si="17"/>
        <v>590249566</v>
      </c>
      <c r="J23" s="213">
        <f t="shared" si="18"/>
        <v>8</v>
      </c>
      <c r="K23" s="213">
        <f t="shared" si="19"/>
        <v>2</v>
      </c>
      <c r="M23" s="210">
        <f t="shared" si="20"/>
        <v>3600</v>
      </c>
      <c r="N23" s="210">
        <f t="shared" si="21"/>
        <v>40</v>
      </c>
      <c r="O23" s="210">
        <f t="shared" si="22"/>
        <v>7200</v>
      </c>
      <c r="P23" s="210">
        <f t="shared" si="23"/>
        <v>1</v>
      </c>
      <c r="Q23" s="210" t="str">
        <f t="shared" si="24"/>
        <v/>
      </c>
      <c r="R23" s="210" t="str">
        <f t="shared" si="25"/>
        <v/>
      </c>
      <c r="S23" s="210" t="str">
        <f t="shared" si="26"/>
        <v/>
      </c>
      <c r="U23" s="482">
        <f t="shared" si="27"/>
        <v>0</v>
      </c>
      <c r="V23" s="482">
        <f t="shared" si="28"/>
        <v>0</v>
      </c>
      <c r="W23" s="482">
        <f t="shared" si="29"/>
        <v>512</v>
      </c>
      <c r="X23" s="482">
        <f t="shared" si="30"/>
        <v>0.55222222222222217</v>
      </c>
      <c r="Y23" s="482">
        <f t="shared" si="31"/>
        <v>33.25</v>
      </c>
      <c r="Z23" s="482">
        <f t="shared" si="32"/>
        <v>33.25</v>
      </c>
      <c r="AA23" s="482">
        <f t="shared" si="33"/>
        <v>2.7650000000000001</v>
      </c>
      <c r="AB23" s="243"/>
      <c r="AC23" s="482">
        <f t="shared" si="34"/>
        <v>0.55222222222222217</v>
      </c>
      <c r="AD23" s="482">
        <f t="shared" si="35"/>
        <v>2.7650000000000001</v>
      </c>
      <c r="AE23" s="482">
        <f t="shared" si="36"/>
        <v>3.3172222222222221</v>
      </c>
      <c r="AF23" s="482">
        <f t="shared" si="37"/>
        <v>33.25</v>
      </c>
      <c r="AG23" s="482">
        <f t="shared" si="38"/>
        <v>33.80222222222222</v>
      </c>
      <c r="AH23" s="482">
        <f t="shared" si="39"/>
        <v>36.015000000000001</v>
      </c>
      <c r="AI23" s="482">
        <f t="shared" si="40"/>
        <v>36.56722222222222</v>
      </c>
      <c r="AJ23" s="482">
        <f t="shared" si="41"/>
        <v>0</v>
      </c>
      <c r="AK23" s="482">
        <f t="shared" si="42"/>
        <v>0.55222222222222217</v>
      </c>
      <c r="AL23" s="482">
        <f t="shared" si="43"/>
        <v>2.7650000000000001</v>
      </c>
      <c r="AM23" s="482">
        <f t="shared" si="44"/>
        <v>3.3172222222222221</v>
      </c>
      <c r="AN23" s="482">
        <f t="shared" si="45"/>
        <v>33.25</v>
      </c>
      <c r="AO23" s="482">
        <f t="shared" si="46"/>
        <v>33.80222222222222</v>
      </c>
      <c r="AP23" s="482">
        <f t="shared" si="47"/>
        <v>36.015000000000001</v>
      </c>
      <c r="AQ23" s="482">
        <f t="shared" si="48"/>
        <v>36.56722222222222</v>
      </c>
      <c r="AR23" s="482">
        <f t="shared" si="49"/>
        <v>512</v>
      </c>
      <c r="AS23" s="482">
        <f t="shared" si="50"/>
        <v>512.55222222222221</v>
      </c>
      <c r="AT23" s="482">
        <f t="shared" si="51"/>
        <v>514.76499999999999</v>
      </c>
      <c r="AU23" s="482">
        <f t="shared" si="52"/>
        <v>515.3172222222222</v>
      </c>
      <c r="AV23" s="482">
        <f t="shared" si="53"/>
        <v>545.25</v>
      </c>
      <c r="AW23" s="482">
        <f t="shared" si="54"/>
        <v>545.80222222222221</v>
      </c>
      <c r="AX23" s="482">
        <f t="shared" si="55"/>
        <v>548.01499999999999</v>
      </c>
      <c r="AY23" s="482">
        <f t="shared" si="56"/>
        <v>548.5672222222222</v>
      </c>
      <c r="AZ23" s="482">
        <f t="shared" si="57"/>
        <v>512</v>
      </c>
      <c r="BA23" s="482">
        <f t="shared" si="58"/>
        <v>512.55222222222221</v>
      </c>
      <c r="BB23" s="482">
        <f t="shared" si="59"/>
        <v>514.76499999999999</v>
      </c>
      <c r="BC23" s="482">
        <f t="shared" si="60"/>
        <v>515.3172222222222</v>
      </c>
      <c r="BD23" s="482">
        <f t="shared" si="61"/>
        <v>545.25</v>
      </c>
      <c r="BE23" s="482">
        <f t="shared" si="62"/>
        <v>545.80222222222221</v>
      </c>
      <c r="BF23" s="482">
        <f t="shared" si="63"/>
        <v>548.01499999999999</v>
      </c>
      <c r="BG23" s="482">
        <f t="shared" si="64"/>
        <v>548.5672222222222</v>
      </c>
    </row>
    <row r="24" spans="1:59">
      <c r="A24" s="213" t="s">
        <v>5317</v>
      </c>
      <c r="B24" s="231">
        <v>590249250</v>
      </c>
      <c r="C24" s="210" t="s">
        <v>5284</v>
      </c>
      <c r="D24" s="210">
        <v>300</v>
      </c>
      <c r="F24" s="239" t="str" cm="1">
        <f t="array" aca="1" ref="F24" ca="1">MID(met2utc(PEPSSI_Commanding[[#This Row],[MET]]),3,15)</f>
        <v>24-277/08:15:34</v>
      </c>
      <c r="G24" s="213" t="str">
        <f t="shared" si="15"/>
        <v>STAT+300</v>
      </c>
      <c r="H24" s="214">
        <f t="shared" si="16"/>
        <v>590247716</v>
      </c>
      <c r="I24" s="214">
        <f t="shared" si="17"/>
        <v>590249566</v>
      </c>
      <c r="J24" s="213">
        <f t="shared" si="18"/>
        <v>9</v>
      </c>
      <c r="K24" s="213">
        <f t="shared" si="19"/>
        <v>1</v>
      </c>
      <c r="M24" s="210">
        <f t="shared" si="20"/>
        <v>3600</v>
      </c>
      <c r="N24" s="210">
        <f t="shared" si="21"/>
        <v>40</v>
      </c>
      <c r="O24" s="210">
        <f t="shared" si="22"/>
        <v>7200</v>
      </c>
      <c r="P24" s="210">
        <f t="shared" si="23"/>
        <v>300</v>
      </c>
      <c r="Q24" s="210" t="str">
        <f t="shared" si="24"/>
        <v/>
      </c>
      <c r="R24" s="210" t="str">
        <f t="shared" si="25"/>
        <v/>
      </c>
      <c r="S24" s="210" t="str">
        <f t="shared" si="26"/>
        <v/>
      </c>
      <c r="U24" s="482">
        <f t="shared" si="27"/>
        <v>0</v>
      </c>
      <c r="V24" s="482">
        <f t="shared" si="28"/>
        <v>0</v>
      </c>
      <c r="W24" s="482">
        <f t="shared" si="29"/>
        <v>1.7066666666666668</v>
      </c>
      <c r="X24" s="482">
        <f t="shared" si="30"/>
        <v>0.55222222222222217</v>
      </c>
      <c r="Y24" s="482">
        <f t="shared" si="31"/>
        <v>33.25</v>
      </c>
      <c r="Z24" s="482">
        <f t="shared" si="32"/>
        <v>33.25</v>
      </c>
      <c r="AA24" s="482">
        <f t="shared" si="33"/>
        <v>2.7650000000000001</v>
      </c>
      <c r="AB24" s="243"/>
      <c r="AC24" s="482">
        <f t="shared" si="34"/>
        <v>0.55222222222222217</v>
      </c>
      <c r="AD24" s="482">
        <f t="shared" si="35"/>
        <v>2.7650000000000001</v>
      </c>
      <c r="AE24" s="482">
        <f t="shared" si="36"/>
        <v>3.3172222222222221</v>
      </c>
      <c r="AF24" s="482">
        <f t="shared" si="37"/>
        <v>33.25</v>
      </c>
      <c r="AG24" s="482">
        <f t="shared" si="38"/>
        <v>33.80222222222222</v>
      </c>
      <c r="AH24" s="482">
        <f t="shared" si="39"/>
        <v>36.015000000000001</v>
      </c>
      <c r="AI24" s="482">
        <f t="shared" si="40"/>
        <v>36.56722222222222</v>
      </c>
      <c r="AJ24" s="482">
        <f t="shared" si="41"/>
        <v>0</v>
      </c>
      <c r="AK24" s="482">
        <f t="shared" si="42"/>
        <v>0.55222222222222217</v>
      </c>
      <c r="AL24" s="482">
        <f t="shared" si="43"/>
        <v>2.7650000000000001</v>
      </c>
      <c r="AM24" s="482">
        <f t="shared" si="44"/>
        <v>3.3172222222222221</v>
      </c>
      <c r="AN24" s="482">
        <f t="shared" si="45"/>
        <v>33.25</v>
      </c>
      <c r="AO24" s="482">
        <f t="shared" si="46"/>
        <v>33.80222222222222</v>
      </c>
      <c r="AP24" s="482">
        <f t="shared" si="47"/>
        <v>36.015000000000001</v>
      </c>
      <c r="AQ24" s="482">
        <f t="shared" si="48"/>
        <v>36.56722222222222</v>
      </c>
      <c r="AR24" s="482">
        <f t="shared" si="49"/>
        <v>1.7066666666666668</v>
      </c>
      <c r="AS24" s="482">
        <f t="shared" si="50"/>
        <v>2.2588888888888889</v>
      </c>
      <c r="AT24" s="482">
        <f t="shared" si="51"/>
        <v>4.4716666666666667</v>
      </c>
      <c r="AU24" s="482">
        <f t="shared" si="52"/>
        <v>5.0238888888888891</v>
      </c>
      <c r="AV24" s="482">
        <f t="shared" si="53"/>
        <v>34.956666666666663</v>
      </c>
      <c r="AW24" s="482">
        <f t="shared" si="54"/>
        <v>35.508888888888883</v>
      </c>
      <c r="AX24" s="482">
        <f t="shared" si="55"/>
        <v>37.721666666666664</v>
      </c>
      <c r="AY24" s="482">
        <f t="shared" si="56"/>
        <v>38.273888888888884</v>
      </c>
      <c r="AZ24" s="482">
        <f t="shared" si="57"/>
        <v>1.7066666666666668</v>
      </c>
      <c r="BA24" s="482">
        <f t="shared" si="58"/>
        <v>2.2588888888888889</v>
      </c>
      <c r="BB24" s="482">
        <f t="shared" si="59"/>
        <v>4.4716666666666667</v>
      </c>
      <c r="BC24" s="482">
        <f t="shared" si="60"/>
        <v>5.0238888888888891</v>
      </c>
      <c r="BD24" s="482">
        <f t="shared" si="61"/>
        <v>34.956666666666663</v>
      </c>
      <c r="BE24" s="482">
        <f t="shared" si="62"/>
        <v>35.508888888888883</v>
      </c>
      <c r="BF24" s="482">
        <f t="shared" si="63"/>
        <v>37.721666666666664</v>
      </c>
      <c r="BG24" s="482">
        <f t="shared" si="64"/>
        <v>38.273888888888884</v>
      </c>
    </row>
    <row r="25" spans="1:59">
      <c r="A25" s="213" t="s">
        <v>5316</v>
      </c>
      <c r="B25" s="231">
        <v>590249566</v>
      </c>
      <c r="C25" s="210" t="s">
        <v>61</v>
      </c>
      <c r="D25" s="210">
        <v>180</v>
      </c>
      <c r="F25" s="239" t="str" cm="1">
        <f t="array" aca="1" ref="F25" ca="1">MID(met2utc(PEPSSI_Commanding[[#This Row],[MET]]),3,15)</f>
        <v>24-277/08:20:50</v>
      </c>
      <c r="G25" s="213" t="str">
        <f t="shared" si="15"/>
        <v>N2+180</v>
      </c>
      <c r="H25" s="214">
        <f t="shared" si="16"/>
        <v>590249566</v>
      </c>
      <c r="I25" s="214">
        <f t="shared" si="17"/>
        <v>605076786</v>
      </c>
      <c r="J25" s="213">
        <f t="shared" si="18"/>
        <v>10</v>
      </c>
      <c r="K25" s="213">
        <f t="shared" si="19"/>
        <v>6</v>
      </c>
      <c r="M25" s="210">
        <f t="shared" si="20"/>
        <v>3600</v>
      </c>
      <c r="N25" s="210">
        <f t="shared" si="21"/>
        <v>180</v>
      </c>
      <c r="O25" s="210">
        <f t="shared" si="22"/>
        <v>7200</v>
      </c>
      <c r="P25" s="210">
        <f t="shared" si="23"/>
        <v>300</v>
      </c>
      <c r="Q25" s="210" t="str">
        <f t="shared" si="24"/>
        <v/>
      </c>
      <c r="R25" s="210" t="str">
        <f t="shared" si="25"/>
        <v/>
      </c>
      <c r="S25" s="210" t="str">
        <f t="shared" si="26"/>
        <v/>
      </c>
      <c r="U25" s="482">
        <f t="shared" si="27"/>
        <v>0</v>
      </c>
      <c r="V25" s="482">
        <f t="shared" si="28"/>
        <v>0</v>
      </c>
      <c r="W25" s="482">
        <f t="shared" si="29"/>
        <v>1.7066666666666668</v>
      </c>
      <c r="X25" s="482">
        <f t="shared" si="30"/>
        <v>0.55222222222222217</v>
      </c>
      <c r="Y25" s="482">
        <f t="shared" si="31"/>
        <v>7.3888888888888893</v>
      </c>
      <c r="Z25" s="482">
        <f t="shared" si="32"/>
        <v>7.3888888888888893</v>
      </c>
      <c r="AA25" s="482">
        <f t="shared" si="33"/>
        <v>2.7650000000000001</v>
      </c>
      <c r="AB25" s="243"/>
      <c r="AC25" s="482">
        <f t="shared" si="34"/>
        <v>0.55222222222222217</v>
      </c>
      <c r="AD25" s="482">
        <f t="shared" si="35"/>
        <v>2.7650000000000001</v>
      </c>
      <c r="AE25" s="482">
        <f t="shared" si="36"/>
        <v>3.3172222222222221</v>
      </c>
      <c r="AF25" s="482">
        <f t="shared" si="37"/>
        <v>7.3888888888888893</v>
      </c>
      <c r="AG25" s="482">
        <f t="shared" si="38"/>
        <v>7.9411111111111117</v>
      </c>
      <c r="AH25" s="482">
        <f t="shared" si="39"/>
        <v>10.15388888888889</v>
      </c>
      <c r="AI25" s="482">
        <f t="shared" si="40"/>
        <v>10.706111111111111</v>
      </c>
      <c r="AJ25" s="482">
        <f t="shared" si="41"/>
        <v>0</v>
      </c>
      <c r="AK25" s="482">
        <f t="shared" si="42"/>
        <v>0.55222222222222217</v>
      </c>
      <c r="AL25" s="482">
        <f t="shared" si="43"/>
        <v>2.7650000000000001</v>
      </c>
      <c r="AM25" s="482">
        <f t="shared" si="44"/>
        <v>3.3172222222222221</v>
      </c>
      <c r="AN25" s="482">
        <f t="shared" si="45"/>
        <v>7.3888888888888893</v>
      </c>
      <c r="AO25" s="482">
        <f t="shared" si="46"/>
        <v>7.9411111111111117</v>
      </c>
      <c r="AP25" s="482">
        <f t="shared" si="47"/>
        <v>10.15388888888889</v>
      </c>
      <c r="AQ25" s="482">
        <f t="shared" si="48"/>
        <v>10.706111111111111</v>
      </c>
      <c r="AR25" s="482">
        <f t="shared" si="49"/>
        <v>1.7066666666666668</v>
      </c>
      <c r="AS25" s="482">
        <f t="shared" si="50"/>
        <v>2.2588888888888889</v>
      </c>
      <c r="AT25" s="482">
        <f t="shared" si="51"/>
        <v>4.4716666666666667</v>
      </c>
      <c r="AU25" s="482">
        <f t="shared" si="52"/>
        <v>5.0238888888888891</v>
      </c>
      <c r="AV25" s="482">
        <f t="shared" si="53"/>
        <v>9.0955555555555563</v>
      </c>
      <c r="AW25" s="482">
        <f t="shared" si="54"/>
        <v>9.6477777777777778</v>
      </c>
      <c r="AX25" s="482">
        <f t="shared" si="55"/>
        <v>11.860555555555557</v>
      </c>
      <c r="AY25" s="482">
        <f t="shared" si="56"/>
        <v>12.412777777777778</v>
      </c>
      <c r="AZ25" s="482">
        <f t="shared" si="57"/>
        <v>1.7066666666666668</v>
      </c>
      <c r="BA25" s="482">
        <f t="shared" si="58"/>
        <v>2.2588888888888889</v>
      </c>
      <c r="BB25" s="482">
        <f t="shared" si="59"/>
        <v>4.4716666666666667</v>
      </c>
      <c r="BC25" s="482">
        <f t="shared" si="60"/>
        <v>5.0238888888888891</v>
      </c>
      <c r="BD25" s="482">
        <f t="shared" si="61"/>
        <v>9.0955555555555563</v>
      </c>
      <c r="BE25" s="482">
        <f t="shared" si="62"/>
        <v>9.6477777777777778</v>
      </c>
      <c r="BF25" s="482">
        <f t="shared" si="63"/>
        <v>11.860555555555557</v>
      </c>
      <c r="BG25" s="482">
        <f t="shared" si="64"/>
        <v>12.412777777777778</v>
      </c>
    </row>
    <row r="26" spans="1:59">
      <c r="A26" s="213" t="s">
        <v>5316</v>
      </c>
      <c r="B26" s="231">
        <v>590249569</v>
      </c>
      <c r="C26" s="210" t="s">
        <v>1</v>
      </c>
      <c r="D26" s="210">
        <v>180</v>
      </c>
      <c r="F26" s="239" t="str" cm="1">
        <f t="array" aca="1" ref="F26" ca="1">MID(met2utc(PEPSSI_Commanding[[#This Row],[MET]]),3,15)</f>
        <v>24-277/08:20:53</v>
      </c>
      <c r="G26" s="213" t="str">
        <f t="shared" si="15"/>
        <v>N1+180</v>
      </c>
      <c r="H26" s="214">
        <f t="shared" si="16"/>
        <v>590249566</v>
      </c>
      <c r="I26" s="214">
        <f t="shared" si="17"/>
        <v>605076786</v>
      </c>
      <c r="J26" s="213">
        <f t="shared" si="18"/>
        <v>11</v>
      </c>
      <c r="K26" s="213">
        <f t="shared" si="19"/>
        <v>5</v>
      </c>
      <c r="M26" s="210">
        <f t="shared" si="20"/>
        <v>180</v>
      </c>
      <c r="N26" s="210">
        <f t="shared" si="21"/>
        <v>180</v>
      </c>
      <c r="O26" s="210">
        <f t="shared" si="22"/>
        <v>7200</v>
      </c>
      <c r="P26" s="210">
        <f t="shared" si="23"/>
        <v>300</v>
      </c>
      <c r="Q26" s="210" t="str">
        <f t="shared" si="24"/>
        <v/>
      </c>
      <c r="R26" s="210" t="str">
        <f t="shared" si="25"/>
        <v/>
      </c>
      <c r="S26" s="210" t="str">
        <f t="shared" si="26"/>
        <v/>
      </c>
      <c r="U26" s="482">
        <f t="shared" si="27"/>
        <v>0</v>
      </c>
      <c r="V26" s="482">
        <f t="shared" si="28"/>
        <v>0</v>
      </c>
      <c r="W26" s="482">
        <f t="shared" si="29"/>
        <v>1.7066666666666668</v>
      </c>
      <c r="X26" s="482">
        <f t="shared" si="30"/>
        <v>11.044444444444444</v>
      </c>
      <c r="Y26" s="482">
        <f t="shared" si="31"/>
        <v>7.3888888888888893</v>
      </c>
      <c r="Z26" s="482">
        <f t="shared" si="32"/>
        <v>7.3888888888888893</v>
      </c>
      <c r="AA26" s="482">
        <f t="shared" si="33"/>
        <v>2.7650000000000001</v>
      </c>
      <c r="AB26" s="243"/>
      <c r="AC26" s="482">
        <f t="shared" si="34"/>
        <v>11.044444444444444</v>
      </c>
      <c r="AD26" s="482">
        <f t="shared" si="35"/>
        <v>2.7650000000000001</v>
      </c>
      <c r="AE26" s="482">
        <f t="shared" si="36"/>
        <v>13.809444444444445</v>
      </c>
      <c r="AF26" s="482">
        <f t="shared" si="37"/>
        <v>7.3888888888888893</v>
      </c>
      <c r="AG26" s="482">
        <f t="shared" si="38"/>
        <v>18.433333333333334</v>
      </c>
      <c r="AH26" s="482">
        <f t="shared" si="39"/>
        <v>10.15388888888889</v>
      </c>
      <c r="AI26" s="482">
        <f t="shared" si="40"/>
        <v>21.198333333333334</v>
      </c>
      <c r="AJ26" s="482">
        <f t="shared" si="41"/>
        <v>0</v>
      </c>
      <c r="AK26" s="482">
        <f t="shared" si="42"/>
        <v>11.044444444444444</v>
      </c>
      <c r="AL26" s="482">
        <f t="shared" si="43"/>
        <v>2.7650000000000001</v>
      </c>
      <c r="AM26" s="482">
        <f t="shared" si="44"/>
        <v>13.809444444444445</v>
      </c>
      <c r="AN26" s="482">
        <f t="shared" si="45"/>
        <v>7.3888888888888893</v>
      </c>
      <c r="AO26" s="482">
        <f t="shared" si="46"/>
        <v>18.433333333333334</v>
      </c>
      <c r="AP26" s="482">
        <f t="shared" si="47"/>
        <v>10.15388888888889</v>
      </c>
      <c r="AQ26" s="482">
        <f t="shared" si="48"/>
        <v>21.198333333333334</v>
      </c>
      <c r="AR26" s="482">
        <f t="shared" si="49"/>
        <v>1.7066666666666668</v>
      </c>
      <c r="AS26" s="482">
        <f t="shared" si="50"/>
        <v>12.751111111111111</v>
      </c>
      <c r="AT26" s="482">
        <f t="shared" si="51"/>
        <v>4.4716666666666667</v>
      </c>
      <c r="AU26" s="482">
        <f t="shared" si="52"/>
        <v>15.516111111111112</v>
      </c>
      <c r="AV26" s="482">
        <f t="shared" si="53"/>
        <v>9.0955555555555563</v>
      </c>
      <c r="AW26" s="482">
        <f t="shared" si="54"/>
        <v>20.14</v>
      </c>
      <c r="AX26" s="482">
        <f t="shared" si="55"/>
        <v>11.860555555555557</v>
      </c>
      <c r="AY26" s="482">
        <f t="shared" si="56"/>
        <v>22.905000000000001</v>
      </c>
      <c r="AZ26" s="482">
        <f t="shared" si="57"/>
        <v>1.7066666666666668</v>
      </c>
      <c r="BA26" s="482">
        <f t="shared" si="58"/>
        <v>12.751111111111111</v>
      </c>
      <c r="BB26" s="482">
        <f t="shared" si="59"/>
        <v>4.4716666666666667</v>
      </c>
      <c r="BC26" s="482">
        <f t="shared" si="60"/>
        <v>15.516111111111112</v>
      </c>
      <c r="BD26" s="482">
        <f t="shared" si="61"/>
        <v>9.0955555555555563</v>
      </c>
      <c r="BE26" s="482">
        <f t="shared" si="62"/>
        <v>20.14</v>
      </c>
      <c r="BF26" s="482">
        <f t="shared" si="63"/>
        <v>11.860555555555557</v>
      </c>
      <c r="BG26" s="482">
        <f t="shared" si="64"/>
        <v>22.905000000000001</v>
      </c>
    </row>
    <row r="27" spans="1:59">
      <c r="A27" s="213" t="s">
        <v>5316</v>
      </c>
      <c r="B27" s="231">
        <v>590249572</v>
      </c>
      <c r="C27" s="210" t="s">
        <v>58</v>
      </c>
      <c r="D27" s="210">
        <v>7200</v>
      </c>
      <c r="F27" s="239" t="str" cm="1">
        <f t="array" aca="1" ref="F27" ca="1">MID(met2utc(PEPSSI_Commanding[[#This Row],[MET]]),3,15)</f>
        <v>24-277/08:20:56</v>
      </c>
      <c r="G27" s="213" t="str">
        <f t="shared" si="15"/>
        <v>N3+7200</v>
      </c>
      <c r="H27" s="214">
        <f t="shared" si="16"/>
        <v>590249566</v>
      </c>
      <c r="I27" s="214">
        <f t="shared" si="17"/>
        <v>605076786</v>
      </c>
      <c r="J27" s="213">
        <f t="shared" si="18"/>
        <v>12</v>
      </c>
      <c r="K27" s="213">
        <f t="shared" si="19"/>
        <v>4</v>
      </c>
      <c r="M27" s="210">
        <f t="shared" si="20"/>
        <v>180</v>
      </c>
      <c r="N27" s="210">
        <f t="shared" si="21"/>
        <v>180</v>
      </c>
      <c r="O27" s="210">
        <f t="shared" si="22"/>
        <v>7200</v>
      </c>
      <c r="P27" s="210">
        <f t="shared" si="23"/>
        <v>300</v>
      </c>
      <c r="Q27" s="210" t="str">
        <f t="shared" si="24"/>
        <v/>
      </c>
      <c r="R27" s="210" t="str">
        <f t="shared" si="25"/>
        <v/>
      </c>
      <c r="S27" s="210" t="str">
        <f t="shared" si="26"/>
        <v/>
      </c>
      <c r="U27" s="482">
        <f t="shared" si="27"/>
        <v>0</v>
      </c>
      <c r="V27" s="482">
        <f t="shared" si="28"/>
        <v>0</v>
      </c>
      <c r="W27" s="482">
        <f t="shared" si="29"/>
        <v>1.7066666666666668</v>
      </c>
      <c r="X27" s="482">
        <f t="shared" si="30"/>
        <v>11.044444444444444</v>
      </c>
      <c r="Y27" s="482">
        <f t="shared" si="31"/>
        <v>7.3888888888888893</v>
      </c>
      <c r="Z27" s="482">
        <f t="shared" si="32"/>
        <v>7.3888888888888893</v>
      </c>
      <c r="AA27" s="482">
        <f t="shared" si="33"/>
        <v>2.7650000000000001</v>
      </c>
      <c r="AB27" s="243"/>
      <c r="AC27" s="482">
        <f t="shared" si="34"/>
        <v>11.044444444444444</v>
      </c>
      <c r="AD27" s="482">
        <f t="shared" si="35"/>
        <v>2.7650000000000001</v>
      </c>
      <c r="AE27" s="482">
        <f t="shared" si="36"/>
        <v>13.809444444444445</v>
      </c>
      <c r="AF27" s="482">
        <f t="shared" si="37"/>
        <v>7.3888888888888893</v>
      </c>
      <c r="AG27" s="482">
        <f t="shared" si="38"/>
        <v>18.433333333333334</v>
      </c>
      <c r="AH27" s="482">
        <f t="shared" si="39"/>
        <v>10.15388888888889</v>
      </c>
      <c r="AI27" s="482">
        <f t="shared" si="40"/>
        <v>21.198333333333334</v>
      </c>
      <c r="AJ27" s="482">
        <f t="shared" si="41"/>
        <v>0</v>
      </c>
      <c r="AK27" s="482">
        <f t="shared" si="42"/>
        <v>11.044444444444444</v>
      </c>
      <c r="AL27" s="482">
        <f t="shared" si="43"/>
        <v>2.7650000000000001</v>
      </c>
      <c r="AM27" s="482">
        <f t="shared" si="44"/>
        <v>13.809444444444445</v>
      </c>
      <c r="AN27" s="482">
        <f t="shared" si="45"/>
        <v>7.3888888888888893</v>
      </c>
      <c r="AO27" s="482">
        <f t="shared" si="46"/>
        <v>18.433333333333334</v>
      </c>
      <c r="AP27" s="482">
        <f t="shared" si="47"/>
        <v>10.15388888888889</v>
      </c>
      <c r="AQ27" s="482">
        <f t="shared" si="48"/>
        <v>21.198333333333334</v>
      </c>
      <c r="AR27" s="482">
        <f t="shared" si="49"/>
        <v>1.7066666666666668</v>
      </c>
      <c r="AS27" s="482">
        <f t="shared" si="50"/>
        <v>12.751111111111111</v>
      </c>
      <c r="AT27" s="482">
        <f t="shared" si="51"/>
        <v>4.4716666666666667</v>
      </c>
      <c r="AU27" s="482">
        <f t="shared" si="52"/>
        <v>15.516111111111112</v>
      </c>
      <c r="AV27" s="482">
        <f t="shared" si="53"/>
        <v>9.0955555555555563</v>
      </c>
      <c r="AW27" s="482">
        <f t="shared" si="54"/>
        <v>20.14</v>
      </c>
      <c r="AX27" s="482">
        <f t="shared" si="55"/>
        <v>11.860555555555557</v>
      </c>
      <c r="AY27" s="482">
        <f t="shared" si="56"/>
        <v>22.905000000000001</v>
      </c>
      <c r="AZ27" s="482">
        <f t="shared" si="57"/>
        <v>1.7066666666666668</v>
      </c>
      <c r="BA27" s="482">
        <f t="shared" si="58"/>
        <v>12.751111111111111</v>
      </c>
      <c r="BB27" s="482">
        <f t="shared" si="59"/>
        <v>4.4716666666666667</v>
      </c>
      <c r="BC27" s="482">
        <f t="shared" si="60"/>
        <v>15.516111111111112</v>
      </c>
      <c r="BD27" s="482">
        <f t="shared" si="61"/>
        <v>9.0955555555555563</v>
      </c>
      <c r="BE27" s="482">
        <f t="shared" si="62"/>
        <v>20.14</v>
      </c>
      <c r="BF27" s="482">
        <f t="shared" si="63"/>
        <v>11.860555555555557</v>
      </c>
      <c r="BG27" s="482">
        <f t="shared" si="64"/>
        <v>22.905000000000001</v>
      </c>
    </row>
    <row r="28" spans="1:59">
      <c r="A28" s="213" t="s">
        <v>5317</v>
      </c>
      <c r="B28" s="231">
        <v>590249575</v>
      </c>
      <c r="C28" s="210" t="s">
        <v>5284</v>
      </c>
      <c r="D28" s="210">
        <v>1800</v>
      </c>
      <c r="F28" s="239" t="str" cm="1">
        <f t="array" aca="1" ref="F28" ca="1">MID(met2utc(PEPSSI_Commanding[[#This Row],[MET]]),3,15)</f>
        <v>24-277/08:20:59</v>
      </c>
      <c r="G28" s="213" t="str">
        <f t="shared" si="15"/>
        <v>STAT+1800</v>
      </c>
      <c r="H28" s="214">
        <f t="shared" si="16"/>
        <v>590249566</v>
      </c>
      <c r="I28" s="214">
        <f t="shared" si="17"/>
        <v>605076786</v>
      </c>
      <c r="J28" s="213">
        <f t="shared" si="18"/>
        <v>13</v>
      </c>
      <c r="K28" s="213">
        <f t="shared" si="19"/>
        <v>3</v>
      </c>
      <c r="M28" s="210">
        <f t="shared" si="20"/>
        <v>180</v>
      </c>
      <c r="N28" s="210">
        <f t="shared" si="21"/>
        <v>180</v>
      </c>
      <c r="O28" s="210">
        <f t="shared" si="22"/>
        <v>7200</v>
      </c>
      <c r="P28" s="210">
        <f t="shared" si="23"/>
        <v>1800</v>
      </c>
      <c r="Q28" s="210" t="str">
        <f t="shared" si="24"/>
        <v/>
      </c>
      <c r="R28" s="210" t="str">
        <f t="shared" si="25"/>
        <v/>
      </c>
      <c r="S28" s="210" t="str">
        <f t="shared" si="26"/>
        <v/>
      </c>
      <c r="U28" s="482">
        <f t="shared" si="27"/>
        <v>0</v>
      </c>
      <c r="V28" s="482">
        <f t="shared" si="28"/>
        <v>0</v>
      </c>
      <c r="W28" s="482">
        <f t="shared" si="29"/>
        <v>0.28444444444444444</v>
      </c>
      <c r="X28" s="482">
        <f t="shared" si="30"/>
        <v>11.044444444444444</v>
      </c>
      <c r="Y28" s="482">
        <f t="shared" si="31"/>
        <v>7.3888888888888893</v>
      </c>
      <c r="Z28" s="482">
        <f t="shared" si="32"/>
        <v>7.3888888888888893</v>
      </c>
      <c r="AA28" s="482">
        <f t="shared" si="33"/>
        <v>2.7650000000000001</v>
      </c>
      <c r="AB28" s="243"/>
      <c r="AC28" s="482">
        <f t="shared" si="34"/>
        <v>11.044444444444444</v>
      </c>
      <c r="AD28" s="482">
        <f t="shared" si="35"/>
        <v>2.7650000000000001</v>
      </c>
      <c r="AE28" s="482">
        <f t="shared" si="36"/>
        <v>13.809444444444445</v>
      </c>
      <c r="AF28" s="482">
        <f t="shared" si="37"/>
        <v>7.3888888888888893</v>
      </c>
      <c r="AG28" s="482">
        <f t="shared" si="38"/>
        <v>18.433333333333334</v>
      </c>
      <c r="AH28" s="482">
        <f t="shared" si="39"/>
        <v>10.15388888888889</v>
      </c>
      <c r="AI28" s="482">
        <f t="shared" si="40"/>
        <v>21.198333333333334</v>
      </c>
      <c r="AJ28" s="482">
        <f t="shared" si="41"/>
        <v>0</v>
      </c>
      <c r="AK28" s="482">
        <f t="shared" si="42"/>
        <v>11.044444444444444</v>
      </c>
      <c r="AL28" s="482">
        <f t="shared" si="43"/>
        <v>2.7650000000000001</v>
      </c>
      <c r="AM28" s="482">
        <f t="shared" si="44"/>
        <v>13.809444444444445</v>
      </c>
      <c r="AN28" s="482">
        <f t="shared" si="45"/>
        <v>7.3888888888888893</v>
      </c>
      <c r="AO28" s="482">
        <f t="shared" si="46"/>
        <v>18.433333333333334</v>
      </c>
      <c r="AP28" s="482">
        <f t="shared" si="47"/>
        <v>10.15388888888889</v>
      </c>
      <c r="AQ28" s="482">
        <f t="shared" si="48"/>
        <v>21.198333333333334</v>
      </c>
      <c r="AR28" s="482">
        <f t="shared" si="49"/>
        <v>0.28444444444444444</v>
      </c>
      <c r="AS28" s="482">
        <f t="shared" si="50"/>
        <v>11.328888888888889</v>
      </c>
      <c r="AT28" s="482">
        <f t="shared" si="51"/>
        <v>3.0494444444444446</v>
      </c>
      <c r="AU28" s="482">
        <f t="shared" si="52"/>
        <v>14.093888888888889</v>
      </c>
      <c r="AV28" s="482">
        <f t="shared" si="53"/>
        <v>7.6733333333333338</v>
      </c>
      <c r="AW28" s="482">
        <f t="shared" si="54"/>
        <v>18.717777777777776</v>
      </c>
      <c r="AX28" s="482">
        <f t="shared" si="55"/>
        <v>10.438333333333334</v>
      </c>
      <c r="AY28" s="482">
        <f t="shared" si="56"/>
        <v>21.482777777777777</v>
      </c>
      <c r="AZ28" s="482">
        <f t="shared" si="57"/>
        <v>0.28444444444444444</v>
      </c>
      <c r="BA28" s="482">
        <f t="shared" si="58"/>
        <v>11.328888888888889</v>
      </c>
      <c r="BB28" s="482">
        <f t="shared" si="59"/>
        <v>3.0494444444444446</v>
      </c>
      <c r="BC28" s="482">
        <f t="shared" si="60"/>
        <v>14.093888888888889</v>
      </c>
      <c r="BD28" s="482">
        <f t="shared" si="61"/>
        <v>7.6733333333333338</v>
      </c>
      <c r="BE28" s="482">
        <f t="shared" si="62"/>
        <v>18.717777777777776</v>
      </c>
      <c r="BF28" s="482">
        <f t="shared" si="63"/>
        <v>10.438333333333334</v>
      </c>
      <c r="BG28" s="482">
        <f t="shared" si="64"/>
        <v>21.482777777777777</v>
      </c>
    </row>
    <row r="29" spans="1:59">
      <c r="A29" s="213" t="s">
        <v>5315</v>
      </c>
      <c r="B29" s="231">
        <v>590250176</v>
      </c>
      <c r="C29" s="210" t="s">
        <v>5285</v>
      </c>
      <c r="D29" s="210">
        <v>101</v>
      </c>
      <c r="F29" s="239" t="str" cm="1">
        <f t="array" aca="1" ref="F29" ca="1">MID(met2utc(PEPSSI_Commanding[[#This Row],[MET]]),3,15)</f>
        <v>24-277/08:31:00</v>
      </c>
      <c r="G29" s="213" t="str">
        <f t="shared" si="15"/>
        <v>MAC+101</v>
      </c>
      <c r="H29" s="214">
        <f t="shared" si="16"/>
        <v>590249566</v>
      </c>
      <c r="I29" s="214">
        <f t="shared" si="17"/>
        <v>605076786</v>
      </c>
      <c r="J29" s="213">
        <f t="shared" si="18"/>
        <v>14</v>
      </c>
      <c r="K29" s="213">
        <f t="shared" si="19"/>
        <v>2</v>
      </c>
      <c r="M29" s="210">
        <f t="shared" si="20"/>
        <v>180</v>
      </c>
      <c r="N29" s="210">
        <f t="shared" si="21"/>
        <v>180</v>
      </c>
      <c r="O29" s="210">
        <f t="shared" si="22"/>
        <v>7200</v>
      </c>
      <c r="P29" s="210">
        <f t="shared" si="23"/>
        <v>1800</v>
      </c>
      <c r="Q29" s="210" t="str">
        <f t="shared" si="24"/>
        <v/>
      </c>
      <c r="R29" s="210">
        <f t="shared" si="25"/>
        <v>600</v>
      </c>
      <c r="S29" s="210" t="str">
        <f t="shared" si="26"/>
        <v/>
      </c>
      <c r="U29" s="482">
        <f t="shared" si="27"/>
        <v>4.8958333333333333E-2</v>
      </c>
      <c r="V29" s="482">
        <f t="shared" si="28"/>
        <v>0.203125</v>
      </c>
      <c r="W29" s="482">
        <f t="shared" si="29"/>
        <v>0.28444444444444444</v>
      </c>
      <c r="X29" s="482">
        <f t="shared" si="30"/>
        <v>11.044444444444444</v>
      </c>
      <c r="Y29" s="482">
        <f t="shared" si="31"/>
        <v>7.3888888888888893</v>
      </c>
      <c r="Z29" s="482">
        <f t="shared" si="32"/>
        <v>0.10262345679012345</v>
      </c>
      <c r="AA29" s="482">
        <f t="shared" si="33"/>
        <v>2.7650000000000001</v>
      </c>
      <c r="AB29" s="243"/>
      <c r="AC29" s="482">
        <f t="shared" si="34"/>
        <v>11.044444444444444</v>
      </c>
      <c r="AD29" s="482">
        <f t="shared" si="35"/>
        <v>2.7650000000000001</v>
      </c>
      <c r="AE29" s="482">
        <f t="shared" si="36"/>
        <v>13.809444444444445</v>
      </c>
      <c r="AF29" s="482">
        <f t="shared" si="37"/>
        <v>0.30574845679012347</v>
      </c>
      <c r="AG29" s="482">
        <f t="shared" si="38"/>
        <v>11.350192901234568</v>
      </c>
      <c r="AH29" s="482">
        <f t="shared" si="39"/>
        <v>3.0707484567901235</v>
      </c>
      <c r="AI29" s="482">
        <f t="shared" si="40"/>
        <v>14.115192901234568</v>
      </c>
      <c r="AJ29" s="482">
        <f t="shared" si="41"/>
        <v>4.8958333333333333E-2</v>
      </c>
      <c r="AK29" s="482">
        <f t="shared" si="42"/>
        <v>11.093402777777778</v>
      </c>
      <c r="AL29" s="482">
        <f t="shared" si="43"/>
        <v>2.8139583333333333</v>
      </c>
      <c r="AM29" s="482">
        <f t="shared" si="44"/>
        <v>13.858402777777778</v>
      </c>
      <c r="AN29" s="482">
        <f t="shared" si="45"/>
        <v>0.35470679012345679</v>
      </c>
      <c r="AO29" s="482">
        <f t="shared" si="46"/>
        <v>11.399151234567901</v>
      </c>
      <c r="AP29" s="482">
        <f t="shared" si="47"/>
        <v>3.1197067901234568</v>
      </c>
      <c r="AQ29" s="482">
        <f t="shared" si="48"/>
        <v>14.164151234567901</v>
      </c>
      <c r="AR29" s="482">
        <f t="shared" si="49"/>
        <v>0.28444444444444444</v>
      </c>
      <c r="AS29" s="482">
        <f t="shared" si="50"/>
        <v>11.328888888888889</v>
      </c>
      <c r="AT29" s="482">
        <f t="shared" si="51"/>
        <v>3.0494444444444446</v>
      </c>
      <c r="AU29" s="482">
        <f t="shared" si="52"/>
        <v>14.093888888888889</v>
      </c>
      <c r="AV29" s="482">
        <f t="shared" si="53"/>
        <v>0.59019290123456791</v>
      </c>
      <c r="AW29" s="482">
        <f t="shared" si="54"/>
        <v>11.634637345679012</v>
      </c>
      <c r="AX29" s="482">
        <f t="shared" si="55"/>
        <v>3.355192901234568</v>
      </c>
      <c r="AY29" s="482">
        <f t="shared" si="56"/>
        <v>14.399637345679013</v>
      </c>
      <c r="AZ29" s="482">
        <f t="shared" si="57"/>
        <v>0.33340277777777777</v>
      </c>
      <c r="BA29" s="482">
        <f t="shared" si="58"/>
        <v>11.377847222222222</v>
      </c>
      <c r="BB29" s="482">
        <f t="shared" si="59"/>
        <v>3.0984027777777778</v>
      </c>
      <c r="BC29" s="482">
        <f t="shared" si="60"/>
        <v>14.142847222222223</v>
      </c>
      <c r="BD29" s="482">
        <f t="shared" si="61"/>
        <v>0.63915123456790124</v>
      </c>
      <c r="BE29" s="482">
        <f t="shared" si="62"/>
        <v>11.683595679012345</v>
      </c>
      <c r="BF29" s="482">
        <f t="shared" si="63"/>
        <v>3.4041512345679013</v>
      </c>
      <c r="BG29" s="482">
        <f t="shared" si="64"/>
        <v>14.448595679012346</v>
      </c>
    </row>
    <row r="30" spans="1:59">
      <c r="A30" s="213" t="s">
        <v>5315</v>
      </c>
      <c r="B30" s="231">
        <v>590253776</v>
      </c>
      <c r="C30" s="210" t="s">
        <v>5285</v>
      </c>
      <c r="D30" s="210">
        <v>102</v>
      </c>
      <c r="F30" s="239" t="str" cm="1">
        <f t="array" aca="1" ref="F30" ca="1">MID(met2utc(PEPSSI_Commanding[[#This Row],[MET]]),3,15)</f>
        <v>24-277/09:31:00</v>
      </c>
      <c r="G30" s="213" t="str">
        <f t="shared" si="15"/>
        <v>MAC+102</v>
      </c>
      <c r="H30" s="214">
        <f t="shared" si="16"/>
        <v>590249566</v>
      </c>
      <c r="I30" s="214">
        <f t="shared" si="17"/>
        <v>605076786</v>
      </c>
      <c r="J30" s="213">
        <f t="shared" si="18"/>
        <v>15</v>
      </c>
      <c r="K30" s="213">
        <f t="shared" si="19"/>
        <v>1</v>
      </c>
      <c r="M30" s="210">
        <f t="shared" si="20"/>
        <v>180</v>
      </c>
      <c r="N30" s="210">
        <f t="shared" si="21"/>
        <v>180</v>
      </c>
      <c r="O30" s="210">
        <f t="shared" si="22"/>
        <v>7200</v>
      </c>
      <c r="P30" s="210">
        <f t="shared" si="23"/>
        <v>1800</v>
      </c>
      <c r="Q30" s="210" t="str">
        <f t="shared" si="24"/>
        <v/>
      </c>
      <c r="R30" s="210">
        <f t="shared" si="25"/>
        <v>600</v>
      </c>
      <c r="S30" s="210" t="str">
        <f t="shared" si="26"/>
        <v>102</v>
      </c>
      <c r="U30" s="482">
        <f t="shared" si="27"/>
        <v>4.8958333333333333E-2</v>
      </c>
      <c r="V30" s="482">
        <f t="shared" si="28"/>
        <v>0.203125</v>
      </c>
      <c r="W30" s="482">
        <f t="shared" si="29"/>
        <v>0.28444444444444444</v>
      </c>
      <c r="X30" s="482">
        <f t="shared" si="30"/>
        <v>11.044444444444444</v>
      </c>
      <c r="Y30" s="482">
        <f t="shared" si="31"/>
        <v>7.3888888888888893</v>
      </c>
      <c r="Z30" s="482">
        <f t="shared" si="32"/>
        <v>0.10262345679012345</v>
      </c>
      <c r="AA30" s="482">
        <f t="shared" si="33"/>
        <v>2.7650000000000001</v>
      </c>
      <c r="AB30" s="243"/>
      <c r="AC30" s="482">
        <f t="shared" si="34"/>
        <v>11.044444444444444</v>
      </c>
      <c r="AD30" s="482">
        <f t="shared" si="35"/>
        <v>2.9681250000000001</v>
      </c>
      <c r="AE30" s="482">
        <f t="shared" si="36"/>
        <v>14.012569444444445</v>
      </c>
      <c r="AF30" s="482">
        <f t="shared" si="37"/>
        <v>0.10262345679012345</v>
      </c>
      <c r="AG30" s="482">
        <f t="shared" si="38"/>
        <v>11.147067901234568</v>
      </c>
      <c r="AH30" s="482">
        <f t="shared" si="39"/>
        <v>3.0707484567901235</v>
      </c>
      <c r="AI30" s="482">
        <f t="shared" si="40"/>
        <v>14.115192901234568</v>
      </c>
      <c r="AJ30" s="482">
        <f t="shared" si="41"/>
        <v>4.8958333333333333E-2</v>
      </c>
      <c r="AK30" s="482">
        <f t="shared" si="42"/>
        <v>11.093402777777778</v>
      </c>
      <c r="AL30" s="482">
        <f t="shared" si="43"/>
        <v>3.0170833333333333</v>
      </c>
      <c r="AM30" s="482">
        <f t="shared" si="44"/>
        <v>14.061527777777778</v>
      </c>
      <c r="AN30" s="482">
        <f t="shared" si="45"/>
        <v>0.15158179012345679</v>
      </c>
      <c r="AO30" s="482">
        <f t="shared" si="46"/>
        <v>11.196026234567901</v>
      </c>
      <c r="AP30" s="482">
        <f t="shared" si="47"/>
        <v>3.1197067901234568</v>
      </c>
      <c r="AQ30" s="482">
        <f t="shared" si="48"/>
        <v>14.164151234567901</v>
      </c>
      <c r="AR30" s="482">
        <f t="shared" si="49"/>
        <v>0.28444444444444444</v>
      </c>
      <c r="AS30" s="482">
        <f t="shared" si="50"/>
        <v>11.328888888888889</v>
      </c>
      <c r="AT30" s="482">
        <f t="shared" si="51"/>
        <v>3.2525694444444446</v>
      </c>
      <c r="AU30" s="482">
        <f t="shared" si="52"/>
        <v>14.297013888888889</v>
      </c>
      <c r="AV30" s="482">
        <f t="shared" si="53"/>
        <v>0.38706790123456791</v>
      </c>
      <c r="AW30" s="482">
        <f t="shared" si="54"/>
        <v>11.431512345679012</v>
      </c>
      <c r="AX30" s="482">
        <f t="shared" si="55"/>
        <v>3.355192901234568</v>
      </c>
      <c r="AY30" s="482">
        <f t="shared" si="56"/>
        <v>14.399637345679013</v>
      </c>
      <c r="AZ30" s="482">
        <f t="shared" si="57"/>
        <v>0.33340277777777777</v>
      </c>
      <c r="BA30" s="482">
        <f t="shared" si="58"/>
        <v>11.377847222222222</v>
      </c>
      <c r="BB30" s="482">
        <f t="shared" si="59"/>
        <v>3.3015277777777778</v>
      </c>
      <c r="BC30" s="482">
        <f t="shared" si="60"/>
        <v>14.345972222222223</v>
      </c>
      <c r="BD30" s="482">
        <f t="shared" si="61"/>
        <v>0.43602623456790124</v>
      </c>
      <c r="BE30" s="482">
        <f t="shared" si="62"/>
        <v>11.480470679012345</v>
      </c>
      <c r="BF30" s="482">
        <f t="shared" si="63"/>
        <v>3.4041512345679013</v>
      </c>
      <c r="BG30" s="482">
        <f t="shared" si="64"/>
        <v>14.448595679012346</v>
      </c>
    </row>
    <row r="31" spans="1:59">
      <c r="A31" s="213" t="s">
        <v>5314</v>
      </c>
      <c r="B31" s="231">
        <v>605076786</v>
      </c>
      <c r="C31" s="210" t="s">
        <v>5318</v>
      </c>
      <c r="F31" s="239" t="str" cm="1">
        <f t="array" aca="1" ref="F31" ca="1">MID(met2utc(PEPSSI_Commanding[[#This Row],[MET]]),3,15)</f>
        <v>25-082/23:01:10</v>
      </c>
      <c r="G31" s="213" t="str">
        <f t="shared" si="15"/>
        <v>OFF</v>
      </c>
      <c r="H31" s="214">
        <f t="shared" si="16"/>
        <v>590249566</v>
      </c>
      <c r="I31" s="214">
        <f t="shared" si="17"/>
        <v>605076786</v>
      </c>
      <c r="J31" s="213">
        <f t="shared" si="18"/>
        <v>16</v>
      </c>
      <c r="K31" s="213">
        <f t="shared" si="19"/>
        <v>0</v>
      </c>
      <c r="M31" s="210">
        <f t="shared" si="20"/>
        <v>180</v>
      </c>
      <c r="N31" s="210">
        <f t="shared" si="21"/>
        <v>180</v>
      </c>
      <c r="O31" s="210">
        <f t="shared" si="22"/>
        <v>7200</v>
      </c>
      <c r="P31" s="210">
        <f t="shared" si="23"/>
        <v>1800</v>
      </c>
      <c r="Q31" s="210" t="str">
        <f t="shared" si="24"/>
        <v/>
      </c>
      <c r="R31" s="210">
        <f t="shared" si="25"/>
        <v>600</v>
      </c>
      <c r="S31" s="210" t="str">
        <f t="shared" si="26"/>
        <v>102</v>
      </c>
      <c r="U31" s="482">
        <f t="shared" si="27"/>
        <v>4.8958333333333333E-2</v>
      </c>
      <c r="V31" s="482">
        <f t="shared" si="28"/>
        <v>0.203125</v>
      </c>
      <c r="W31" s="482">
        <f t="shared" si="29"/>
        <v>0.28444444444444444</v>
      </c>
      <c r="X31" s="482">
        <f t="shared" si="30"/>
        <v>11.044444444444444</v>
      </c>
      <c r="Y31" s="482">
        <f t="shared" si="31"/>
        <v>7.3888888888888893</v>
      </c>
      <c r="Z31" s="482">
        <f t="shared" si="32"/>
        <v>0.10262345679012345</v>
      </c>
      <c r="AA31" s="482">
        <f t="shared" si="33"/>
        <v>2.7650000000000001</v>
      </c>
      <c r="AB31" s="243"/>
      <c r="AC31" s="482">
        <f t="shared" si="34"/>
        <v>11.044444444444444</v>
      </c>
      <c r="AD31" s="482">
        <f t="shared" si="35"/>
        <v>2.9681250000000001</v>
      </c>
      <c r="AE31" s="482">
        <f t="shared" si="36"/>
        <v>14.012569444444445</v>
      </c>
      <c r="AF31" s="482">
        <f t="shared" si="37"/>
        <v>0.10262345679012345</v>
      </c>
      <c r="AG31" s="482">
        <f t="shared" si="38"/>
        <v>11.147067901234568</v>
      </c>
      <c r="AH31" s="482">
        <f t="shared" si="39"/>
        <v>3.0707484567901235</v>
      </c>
      <c r="AI31" s="482">
        <f t="shared" si="40"/>
        <v>14.115192901234568</v>
      </c>
      <c r="AJ31" s="482">
        <f t="shared" si="41"/>
        <v>4.8958333333333333E-2</v>
      </c>
      <c r="AK31" s="482">
        <f t="shared" si="42"/>
        <v>11.093402777777778</v>
      </c>
      <c r="AL31" s="482">
        <f t="shared" si="43"/>
        <v>3.0170833333333333</v>
      </c>
      <c r="AM31" s="482">
        <f t="shared" si="44"/>
        <v>14.061527777777778</v>
      </c>
      <c r="AN31" s="482">
        <f t="shared" si="45"/>
        <v>0.15158179012345679</v>
      </c>
      <c r="AO31" s="482">
        <f t="shared" si="46"/>
        <v>11.196026234567901</v>
      </c>
      <c r="AP31" s="482">
        <f t="shared" si="47"/>
        <v>3.1197067901234568</v>
      </c>
      <c r="AQ31" s="482">
        <f t="shared" si="48"/>
        <v>14.164151234567901</v>
      </c>
      <c r="AR31" s="482">
        <f t="shared" si="49"/>
        <v>0.28444444444444444</v>
      </c>
      <c r="AS31" s="482">
        <f t="shared" si="50"/>
        <v>11.328888888888889</v>
      </c>
      <c r="AT31" s="482">
        <f t="shared" si="51"/>
        <v>3.2525694444444446</v>
      </c>
      <c r="AU31" s="482">
        <f t="shared" si="52"/>
        <v>14.297013888888889</v>
      </c>
      <c r="AV31" s="482">
        <f t="shared" si="53"/>
        <v>0.38706790123456791</v>
      </c>
      <c r="AW31" s="482">
        <f t="shared" si="54"/>
        <v>11.431512345679012</v>
      </c>
      <c r="AX31" s="482">
        <f t="shared" si="55"/>
        <v>3.355192901234568</v>
      </c>
      <c r="AY31" s="482">
        <f t="shared" si="56"/>
        <v>14.399637345679013</v>
      </c>
      <c r="AZ31" s="482">
        <f t="shared" si="57"/>
        <v>0.33340277777777777</v>
      </c>
      <c r="BA31" s="482">
        <f t="shared" si="58"/>
        <v>11.377847222222222</v>
      </c>
      <c r="BB31" s="482">
        <f t="shared" si="59"/>
        <v>3.3015277777777778</v>
      </c>
      <c r="BC31" s="482">
        <f t="shared" si="60"/>
        <v>14.345972222222223</v>
      </c>
      <c r="BD31" s="482">
        <f t="shared" si="61"/>
        <v>0.43602623456790124</v>
      </c>
      <c r="BE31" s="482">
        <f t="shared" si="62"/>
        <v>11.480470679012345</v>
      </c>
      <c r="BF31" s="482">
        <f t="shared" si="63"/>
        <v>3.4041512345679013</v>
      </c>
      <c r="BG31" s="482">
        <f t="shared" si="64"/>
        <v>14.448595679012346</v>
      </c>
    </row>
    <row r="32" spans="1:59">
      <c r="A32" s="213" t="s">
        <v>5314</v>
      </c>
      <c r="B32" s="231">
        <v>606263216</v>
      </c>
      <c r="C32" s="210" t="s">
        <v>433</v>
      </c>
      <c r="F32" s="239" t="str" cm="1">
        <f t="array" aca="1" ref="F32" ca="1">MID(met2utc(PEPSSI_Commanding[[#This Row],[MET]]),3,15)</f>
        <v>25-096/16:35:00</v>
      </c>
      <c r="G32" s="213" t="str">
        <f t="shared" si="15"/>
        <v>ON</v>
      </c>
      <c r="H32" s="214">
        <f t="shared" si="16"/>
        <v>606263216</v>
      </c>
      <c r="I32" s="214">
        <f t="shared" si="17"/>
        <v>606265066</v>
      </c>
      <c r="J32" s="213">
        <f t="shared" si="18"/>
        <v>0</v>
      </c>
      <c r="K32" s="213">
        <f t="shared" si="19"/>
        <v>10</v>
      </c>
      <c r="M32" s="210" t="str">
        <f t="shared" si="20"/>
        <v/>
      </c>
      <c r="N32" s="210" t="str">
        <f t="shared" si="21"/>
        <v/>
      </c>
      <c r="O32" s="210" t="str">
        <f t="shared" si="22"/>
        <v/>
      </c>
      <c r="P32" s="210" t="str">
        <f t="shared" si="23"/>
        <v/>
      </c>
      <c r="Q32" s="210" t="str">
        <f t="shared" si="24"/>
        <v/>
      </c>
      <c r="R32" s="210" t="str">
        <f t="shared" si="25"/>
        <v/>
      </c>
      <c r="S32" s="210" t="str">
        <f t="shared" si="26"/>
        <v/>
      </c>
      <c r="U32" s="482">
        <f t="shared" si="27"/>
        <v>0</v>
      </c>
      <c r="V32" s="482">
        <f t="shared" si="28"/>
        <v>0</v>
      </c>
      <c r="W32" s="482">
        <f t="shared" si="29"/>
        <v>0</v>
      </c>
      <c r="X32" s="482">
        <f t="shared" si="30"/>
        <v>0</v>
      </c>
      <c r="Y32" s="482">
        <f t="shared" si="31"/>
        <v>0</v>
      </c>
      <c r="Z32" s="482">
        <f t="shared" si="32"/>
        <v>0</v>
      </c>
      <c r="AA32" s="482">
        <f t="shared" si="33"/>
        <v>0</v>
      </c>
      <c r="AB32" s="243"/>
      <c r="AC32" s="482">
        <f t="shared" si="34"/>
        <v>0</v>
      </c>
      <c r="AD32" s="482">
        <f t="shared" si="35"/>
        <v>0</v>
      </c>
      <c r="AE32" s="482">
        <f t="shared" si="36"/>
        <v>0</v>
      </c>
      <c r="AF32" s="482">
        <f t="shared" si="37"/>
        <v>0</v>
      </c>
      <c r="AG32" s="482">
        <f t="shared" si="38"/>
        <v>0</v>
      </c>
      <c r="AH32" s="482">
        <f t="shared" si="39"/>
        <v>0</v>
      </c>
      <c r="AI32" s="482">
        <f t="shared" si="40"/>
        <v>0</v>
      </c>
      <c r="AJ32" s="482">
        <f t="shared" si="41"/>
        <v>0</v>
      </c>
      <c r="AK32" s="482">
        <f t="shared" si="42"/>
        <v>0</v>
      </c>
      <c r="AL32" s="482">
        <f t="shared" si="43"/>
        <v>0</v>
      </c>
      <c r="AM32" s="482">
        <f t="shared" si="44"/>
        <v>0</v>
      </c>
      <c r="AN32" s="482">
        <f t="shared" si="45"/>
        <v>0</v>
      </c>
      <c r="AO32" s="482">
        <f t="shared" si="46"/>
        <v>0</v>
      </c>
      <c r="AP32" s="482">
        <f t="shared" si="47"/>
        <v>0</v>
      </c>
      <c r="AQ32" s="482">
        <f t="shared" si="48"/>
        <v>0</v>
      </c>
      <c r="AR32" s="482">
        <f t="shared" si="49"/>
        <v>0</v>
      </c>
      <c r="AS32" s="482">
        <f t="shared" si="50"/>
        <v>0</v>
      </c>
      <c r="AT32" s="482">
        <f t="shared" si="51"/>
        <v>0</v>
      </c>
      <c r="AU32" s="482">
        <f t="shared" si="52"/>
        <v>0</v>
      </c>
      <c r="AV32" s="482">
        <f t="shared" si="53"/>
        <v>0</v>
      </c>
      <c r="AW32" s="482">
        <f t="shared" si="54"/>
        <v>0</v>
      </c>
      <c r="AX32" s="482">
        <f t="shared" si="55"/>
        <v>0</v>
      </c>
      <c r="AY32" s="482">
        <f t="shared" si="56"/>
        <v>0</v>
      </c>
      <c r="AZ32" s="482">
        <f t="shared" si="57"/>
        <v>0</v>
      </c>
      <c r="BA32" s="482">
        <f t="shared" si="58"/>
        <v>0</v>
      </c>
      <c r="BB32" s="482">
        <f t="shared" si="59"/>
        <v>0</v>
      </c>
      <c r="BC32" s="482">
        <f t="shared" si="60"/>
        <v>0</v>
      </c>
      <c r="BD32" s="482">
        <f t="shared" si="61"/>
        <v>0</v>
      </c>
      <c r="BE32" s="482">
        <f t="shared" si="62"/>
        <v>0</v>
      </c>
      <c r="BF32" s="482">
        <f t="shared" si="63"/>
        <v>0</v>
      </c>
      <c r="BG32" s="482">
        <f t="shared" si="64"/>
        <v>0</v>
      </c>
    </row>
    <row r="33" spans="1:59">
      <c r="A33" s="213" t="s">
        <v>5315</v>
      </c>
      <c r="B33" s="231">
        <v>606263261</v>
      </c>
      <c r="C33" s="210" t="s">
        <v>5285</v>
      </c>
      <c r="D33" s="210">
        <v>10</v>
      </c>
      <c r="F33" s="239" t="str" cm="1">
        <f t="array" aca="1" ref="F33" ca="1">MID(met2utc(PEPSSI_Commanding[[#This Row],[MET]]),3,15)</f>
        <v>25-096/16:35:45</v>
      </c>
      <c r="G33" s="213" t="str">
        <f t="shared" si="15"/>
        <v>MAC+10</v>
      </c>
      <c r="H33" s="214">
        <f t="shared" si="16"/>
        <v>606263216</v>
      </c>
      <c r="I33" s="214">
        <f t="shared" si="17"/>
        <v>606265066</v>
      </c>
      <c r="J33" s="213">
        <f t="shared" si="18"/>
        <v>1</v>
      </c>
      <c r="K33" s="213">
        <f t="shared" si="19"/>
        <v>9</v>
      </c>
      <c r="M33" s="210" t="str">
        <f t="shared" si="20"/>
        <v/>
      </c>
      <c r="N33" s="210" t="str">
        <f t="shared" si="21"/>
        <v/>
      </c>
      <c r="O33" s="210" t="str">
        <f t="shared" si="22"/>
        <v/>
      </c>
      <c r="P33" s="210" t="str">
        <f t="shared" si="23"/>
        <v/>
      </c>
      <c r="Q33" s="210" t="str">
        <f t="shared" si="24"/>
        <v/>
      </c>
      <c r="R33" s="210" t="str">
        <f t="shared" si="25"/>
        <v/>
      </c>
      <c r="S33" s="210" t="str">
        <f t="shared" si="26"/>
        <v/>
      </c>
      <c r="U33" s="482">
        <f t="shared" si="27"/>
        <v>0</v>
      </c>
      <c r="V33" s="482">
        <f t="shared" si="28"/>
        <v>0</v>
      </c>
      <c r="W33" s="482">
        <f t="shared" si="29"/>
        <v>0</v>
      </c>
      <c r="X33" s="482">
        <f t="shared" si="30"/>
        <v>0</v>
      </c>
      <c r="Y33" s="482">
        <f t="shared" si="31"/>
        <v>0</v>
      </c>
      <c r="Z33" s="482">
        <f t="shared" si="32"/>
        <v>0</v>
      </c>
      <c r="AA33" s="482">
        <f t="shared" si="33"/>
        <v>0</v>
      </c>
      <c r="AB33" s="243"/>
      <c r="AC33" s="482">
        <f t="shared" si="34"/>
        <v>0</v>
      </c>
      <c r="AD33" s="482">
        <f t="shared" si="35"/>
        <v>0</v>
      </c>
      <c r="AE33" s="482">
        <f t="shared" si="36"/>
        <v>0</v>
      </c>
      <c r="AF33" s="482">
        <f t="shared" si="37"/>
        <v>0</v>
      </c>
      <c r="AG33" s="482">
        <f t="shared" si="38"/>
        <v>0</v>
      </c>
      <c r="AH33" s="482">
        <f t="shared" si="39"/>
        <v>0</v>
      </c>
      <c r="AI33" s="482">
        <f t="shared" si="40"/>
        <v>0</v>
      </c>
      <c r="AJ33" s="482">
        <f t="shared" si="41"/>
        <v>0</v>
      </c>
      <c r="AK33" s="482">
        <f t="shared" si="42"/>
        <v>0</v>
      </c>
      <c r="AL33" s="482">
        <f t="shared" si="43"/>
        <v>0</v>
      </c>
      <c r="AM33" s="482">
        <f t="shared" si="44"/>
        <v>0</v>
      </c>
      <c r="AN33" s="482">
        <f t="shared" si="45"/>
        <v>0</v>
      </c>
      <c r="AO33" s="482">
        <f t="shared" si="46"/>
        <v>0</v>
      </c>
      <c r="AP33" s="482">
        <f t="shared" si="47"/>
        <v>0</v>
      </c>
      <c r="AQ33" s="482">
        <f t="shared" si="48"/>
        <v>0</v>
      </c>
      <c r="AR33" s="482">
        <f t="shared" si="49"/>
        <v>0</v>
      </c>
      <c r="AS33" s="482">
        <f t="shared" si="50"/>
        <v>0</v>
      </c>
      <c r="AT33" s="482">
        <f t="shared" si="51"/>
        <v>0</v>
      </c>
      <c r="AU33" s="482">
        <f t="shared" si="52"/>
        <v>0</v>
      </c>
      <c r="AV33" s="482">
        <f t="shared" si="53"/>
        <v>0</v>
      </c>
      <c r="AW33" s="482">
        <f t="shared" si="54"/>
        <v>0</v>
      </c>
      <c r="AX33" s="482">
        <f t="shared" si="55"/>
        <v>0</v>
      </c>
      <c r="AY33" s="482">
        <f t="shared" si="56"/>
        <v>0</v>
      </c>
      <c r="AZ33" s="482">
        <f t="shared" si="57"/>
        <v>0</v>
      </c>
      <c r="BA33" s="482">
        <f t="shared" si="58"/>
        <v>0</v>
      </c>
      <c r="BB33" s="482">
        <f t="shared" si="59"/>
        <v>0</v>
      </c>
      <c r="BC33" s="482">
        <f t="shared" si="60"/>
        <v>0</v>
      </c>
      <c r="BD33" s="482">
        <f t="shared" si="61"/>
        <v>0</v>
      </c>
      <c r="BE33" s="482">
        <f t="shared" si="62"/>
        <v>0</v>
      </c>
      <c r="BF33" s="482">
        <f t="shared" si="63"/>
        <v>0</v>
      </c>
      <c r="BG33" s="482">
        <f t="shared" si="64"/>
        <v>0</v>
      </c>
    </row>
    <row r="34" spans="1:59">
      <c r="A34" s="213" t="s">
        <v>5316</v>
      </c>
      <c r="B34" s="231">
        <v>606263261</v>
      </c>
      <c r="C34" s="210" t="s">
        <v>61</v>
      </c>
      <c r="D34" s="210">
        <v>10</v>
      </c>
      <c r="F34" s="239" t="str" cm="1">
        <f t="array" aca="1" ref="F34" ca="1">MID(met2utc(PEPSSI_Commanding[[#This Row],[MET]]),3,15)</f>
        <v>25-096/16:35:45</v>
      </c>
      <c r="G34" s="213" t="str">
        <f t="shared" si="15"/>
        <v>N2+10</v>
      </c>
      <c r="H34" s="214">
        <f t="shared" si="16"/>
        <v>606263216</v>
      </c>
      <c r="I34" s="214">
        <f t="shared" si="17"/>
        <v>606265066</v>
      </c>
      <c r="J34" s="213">
        <f t="shared" si="18"/>
        <v>2</v>
      </c>
      <c r="K34" s="213">
        <f t="shared" si="19"/>
        <v>8</v>
      </c>
      <c r="M34" s="210" t="str">
        <f t="shared" si="20"/>
        <v/>
      </c>
      <c r="N34" s="210">
        <f t="shared" si="21"/>
        <v>10</v>
      </c>
      <c r="O34" s="210" t="str">
        <f t="shared" si="22"/>
        <v/>
      </c>
      <c r="P34" s="210" t="str">
        <f t="shared" si="23"/>
        <v/>
      </c>
      <c r="Q34" s="210" t="str">
        <f t="shared" si="24"/>
        <v/>
      </c>
      <c r="R34" s="210" t="str">
        <f t="shared" si="25"/>
        <v/>
      </c>
      <c r="S34" s="210" t="str">
        <f t="shared" si="26"/>
        <v/>
      </c>
      <c r="U34" s="482">
        <f t="shared" si="27"/>
        <v>0</v>
      </c>
      <c r="V34" s="482">
        <f t="shared" si="28"/>
        <v>0</v>
      </c>
      <c r="W34" s="482">
        <f t="shared" si="29"/>
        <v>0</v>
      </c>
      <c r="X34" s="482">
        <f t="shared" si="30"/>
        <v>0</v>
      </c>
      <c r="Y34" s="482">
        <f t="shared" si="31"/>
        <v>133</v>
      </c>
      <c r="Z34" s="482">
        <f t="shared" si="32"/>
        <v>133</v>
      </c>
      <c r="AA34" s="482">
        <f t="shared" si="33"/>
        <v>0</v>
      </c>
      <c r="AB34" s="243"/>
      <c r="AC34" s="482">
        <f t="shared" si="34"/>
        <v>0</v>
      </c>
      <c r="AD34" s="482">
        <f t="shared" si="35"/>
        <v>0</v>
      </c>
      <c r="AE34" s="482">
        <f t="shared" si="36"/>
        <v>0</v>
      </c>
      <c r="AF34" s="482">
        <f t="shared" si="37"/>
        <v>133</v>
      </c>
      <c r="AG34" s="482">
        <f t="shared" si="38"/>
        <v>133</v>
      </c>
      <c r="AH34" s="482">
        <f t="shared" si="39"/>
        <v>133</v>
      </c>
      <c r="AI34" s="482">
        <f t="shared" si="40"/>
        <v>133</v>
      </c>
      <c r="AJ34" s="482">
        <f t="shared" si="41"/>
        <v>0</v>
      </c>
      <c r="AK34" s="482">
        <f t="shared" si="42"/>
        <v>0</v>
      </c>
      <c r="AL34" s="482">
        <f t="shared" si="43"/>
        <v>0</v>
      </c>
      <c r="AM34" s="482">
        <f t="shared" si="44"/>
        <v>0</v>
      </c>
      <c r="AN34" s="482">
        <f t="shared" si="45"/>
        <v>133</v>
      </c>
      <c r="AO34" s="482">
        <f t="shared" si="46"/>
        <v>133</v>
      </c>
      <c r="AP34" s="482">
        <f t="shared" si="47"/>
        <v>133</v>
      </c>
      <c r="AQ34" s="482">
        <f t="shared" si="48"/>
        <v>133</v>
      </c>
      <c r="AR34" s="482">
        <f t="shared" si="49"/>
        <v>0</v>
      </c>
      <c r="AS34" s="482">
        <f t="shared" si="50"/>
        <v>0</v>
      </c>
      <c r="AT34" s="482">
        <f t="shared" si="51"/>
        <v>0</v>
      </c>
      <c r="AU34" s="482">
        <f t="shared" si="52"/>
        <v>0</v>
      </c>
      <c r="AV34" s="482">
        <f t="shared" si="53"/>
        <v>133</v>
      </c>
      <c r="AW34" s="482">
        <f t="shared" si="54"/>
        <v>133</v>
      </c>
      <c r="AX34" s="482">
        <f t="shared" si="55"/>
        <v>133</v>
      </c>
      <c r="AY34" s="482">
        <f t="shared" si="56"/>
        <v>133</v>
      </c>
      <c r="AZ34" s="482">
        <f t="shared" si="57"/>
        <v>0</v>
      </c>
      <c r="BA34" s="482">
        <f t="shared" si="58"/>
        <v>0</v>
      </c>
      <c r="BB34" s="482">
        <f t="shared" si="59"/>
        <v>0</v>
      </c>
      <c r="BC34" s="482">
        <f t="shared" si="60"/>
        <v>0</v>
      </c>
      <c r="BD34" s="482">
        <f t="shared" si="61"/>
        <v>133</v>
      </c>
      <c r="BE34" s="482">
        <f t="shared" si="62"/>
        <v>133</v>
      </c>
      <c r="BF34" s="482">
        <f t="shared" si="63"/>
        <v>133</v>
      </c>
      <c r="BG34" s="482">
        <f t="shared" si="64"/>
        <v>133</v>
      </c>
    </row>
    <row r="35" spans="1:59">
      <c r="A35" s="213" t="s">
        <v>5316</v>
      </c>
      <c r="B35" s="231">
        <v>606263262</v>
      </c>
      <c r="C35" s="210" t="s">
        <v>58</v>
      </c>
      <c r="D35" s="210">
        <v>300</v>
      </c>
      <c r="F35" s="239" t="str" cm="1">
        <f t="array" aca="1" ref="F35" ca="1">MID(met2utc(PEPSSI_Commanding[[#This Row],[MET]]),3,15)</f>
        <v>25-096/16:35:46</v>
      </c>
      <c r="G35" s="213" t="str">
        <f t="shared" si="15"/>
        <v>N3+300</v>
      </c>
      <c r="H35" s="214">
        <f t="shared" si="16"/>
        <v>606263216</v>
      </c>
      <c r="I35" s="214">
        <f t="shared" si="17"/>
        <v>606265066</v>
      </c>
      <c r="J35" s="213">
        <f t="shared" si="18"/>
        <v>3</v>
      </c>
      <c r="K35" s="213">
        <f t="shared" si="19"/>
        <v>7</v>
      </c>
      <c r="M35" s="210" t="str">
        <f t="shared" si="20"/>
        <v/>
      </c>
      <c r="N35" s="210">
        <f t="shared" si="21"/>
        <v>10</v>
      </c>
      <c r="O35" s="210">
        <f t="shared" si="22"/>
        <v>300</v>
      </c>
      <c r="P35" s="210" t="str">
        <f t="shared" si="23"/>
        <v/>
      </c>
      <c r="Q35" s="210" t="str">
        <f t="shared" si="24"/>
        <v/>
      </c>
      <c r="R35" s="210" t="str">
        <f t="shared" si="25"/>
        <v/>
      </c>
      <c r="S35" s="210" t="str">
        <f t="shared" si="26"/>
        <v/>
      </c>
      <c r="U35" s="482">
        <f t="shared" si="27"/>
        <v>0</v>
      </c>
      <c r="V35" s="482">
        <f t="shared" si="28"/>
        <v>0</v>
      </c>
      <c r="W35" s="482">
        <f t="shared" si="29"/>
        <v>0</v>
      </c>
      <c r="X35" s="482">
        <f t="shared" si="30"/>
        <v>0</v>
      </c>
      <c r="Y35" s="482">
        <f t="shared" si="31"/>
        <v>133</v>
      </c>
      <c r="Z35" s="482">
        <f t="shared" si="32"/>
        <v>133</v>
      </c>
      <c r="AA35" s="482">
        <f t="shared" si="33"/>
        <v>66.36</v>
      </c>
      <c r="AB35" s="243"/>
      <c r="AC35" s="482">
        <f t="shared" si="34"/>
        <v>0</v>
      </c>
      <c r="AD35" s="482">
        <f t="shared" si="35"/>
        <v>66.36</v>
      </c>
      <c r="AE35" s="482">
        <f t="shared" si="36"/>
        <v>66.36</v>
      </c>
      <c r="AF35" s="482">
        <f t="shared" si="37"/>
        <v>133</v>
      </c>
      <c r="AG35" s="482">
        <f t="shared" si="38"/>
        <v>133</v>
      </c>
      <c r="AH35" s="482">
        <f t="shared" si="39"/>
        <v>199.36</v>
      </c>
      <c r="AI35" s="482">
        <f t="shared" si="40"/>
        <v>199.36</v>
      </c>
      <c r="AJ35" s="482">
        <f t="shared" si="41"/>
        <v>0</v>
      </c>
      <c r="AK35" s="482">
        <f t="shared" si="42"/>
        <v>0</v>
      </c>
      <c r="AL35" s="482">
        <f t="shared" si="43"/>
        <v>66.36</v>
      </c>
      <c r="AM35" s="482">
        <f t="shared" si="44"/>
        <v>66.36</v>
      </c>
      <c r="AN35" s="482">
        <f t="shared" si="45"/>
        <v>133</v>
      </c>
      <c r="AO35" s="482">
        <f t="shared" si="46"/>
        <v>133</v>
      </c>
      <c r="AP35" s="482">
        <f t="shared" si="47"/>
        <v>199.36</v>
      </c>
      <c r="AQ35" s="482">
        <f t="shared" si="48"/>
        <v>199.36</v>
      </c>
      <c r="AR35" s="482">
        <f t="shared" si="49"/>
        <v>0</v>
      </c>
      <c r="AS35" s="482">
        <f t="shared" si="50"/>
        <v>0</v>
      </c>
      <c r="AT35" s="482">
        <f t="shared" si="51"/>
        <v>66.36</v>
      </c>
      <c r="AU35" s="482">
        <f t="shared" si="52"/>
        <v>66.36</v>
      </c>
      <c r="AV35" s="482">
        <f t="shared" si="53"/>
        <v>133</v>
      </c>
      <c r="AW35" s="482">
        <f t="shared" si="54"/>
        <v>133</v>
      </c>
      <c r="AX35" s="482">
        <f t="shared" si="55"/>
        <v>199.36</v>
      </c>
      <c r="AY35" s="482">
        <f t="shared" si="56"/>
        <v>199.36</v>
      </c>
      <c r="AZ35" s="482">
        <f t="shared" si="57"/>
        <v>0</v>
      </c>
      <c r="BA35" s="482">
        <f t="shared" si="58"/>
        <v>0</v>
      </c>
      <c r="BB35" s="482">
        <f t="shared" si="59"/>
        <v>66.36</v>
      </c>
      <c r="BC35" s="482">
        <f t="shared" si="60"/>
        <v>66.36</v>
      </c>
      <c r="BD35" s="482">
        <f t="shared" si="61"/>
        <v>133</v>
      </c>
      <c r="BE35" s="482">
        <f t="shared" si="62"/>
        <v>133</v>
      </c>
      <c r="BF35" s="482">
        <f t="shared" si="63"/>
        <v>199.36</v>
      </c>
      <c r="BG35" s="482">
        <f t="shared" si="64"/>
        <v>199.36</v>
      </c>
    </row>
    <row r="36" spans="1:59">
      <c r="A36" s="213" t="s">
        <v>5316</v>
      </c>
      <c r="B36" s="231">
        <v>606263263</v>
      </c>
      <c r="C36" s="210" t="s">
        <v>1</v>
      </c>
      <c r="D36" s="210">
        <v>10</v>
      </c>
      <c r="F36" s="239" t="str" cm="1">
        <f t="array" aca="1" ref="F36" ca="1">MID(met2utc(PEPSSI_Commanding[[#This Row],[MET]]),3,15)</f>
        <v>25-096/16:35:47</v>
      </c>
      <c r="G36" s="213" t="str">
        <f t="shared" si="15"/>
        <v>N1+10</v>
      </c>
      <c r="H36" s="214">
        <f t="shared" si="16"/>
        <v>606263216</v>
      </c>
      <c r="I36" s="214">
        <f t="shared" si="17"/>
        <v>606265066</v>
      </c>
      <c r="J36" s="213">
        <f t="shared" si="18"/>
        <v>4</v>
      </c>
      <c r="K36" s="213">
        <f t="shared" si="19"/>
        <v>6</v>
      </c>
      <c r="M36" s="210">
        <f t="shared" si="20"/>
        <v>10</v>
      </c>
      <c r="N36" s="210">
        <f t="shared" si="21"/>
        <v>10</v>
      </c>
      <c r="O36" s="210">
        <f t="shared" si="22"/>
        <v>300</v>
      </c>
      <c r="P36" s="210" t="str">
        <f t="shared" si="23"/>
        <v/>
      </c>
      <c r="Q36" s="210" t="str">
        <f t="shared" si="24"/>
        <v/>
      </c>
      <c r="R36" s="210" t="str">
        <f t="shared" si="25"/>
        <v/>
      </c>
      <c r="S36" s="210" t="str">
        <f t="shared" si="26"/>
        <v/>
      </c>
      <c r="U36" s="482">
        <f t="shared" si="27"/>
        <v>0</v>
      </c>
      <c r="V36" s="482">
        <f t="shared" si="28"/>
        <v>0</v>
      </c>
      <c r="W36" s="482">
        <f t="shared" si="29"/>
        <v>0</v>
      </c>
      <c r="X36" s="482">
        <f t="shared" si="30"/>
        <v>198.8</v>
      </c>
      <c r="Y36" s="482">
        <f t="shared" si="31"/>
        <v>133</v>
      </c>
      <c r="Z36" s="482">
        <f t="shared" si="32"/>
        <v>133</v>
      </c>
      <c r="AA36" s="482">
        <f t="shared" si="33"/>
        <v>66.36</v>
      </c>
      <c r="AB36" s="243"/>
      <c r="AC36" s="482">
        <f t="shared" si="34"/>
        <v>198.8</v>
      </c>
      <c r="AD36" s="482">
        <f t="shared" si="35"/>
        <v>66.36</v>
      </c>
      <c r="AE36" s="482">
        <f t="shared" si="36"/>
        <v>265.16000000000003</v>
      </c>
      <c r="AF36" s="482">
        <f t="shared" si="37"/>
        <v>133</v>
      </c>
      <c r="AG36" s="482">
        <f t="shared" si="38"/>
        <v>331.8</v>
      </c>
      <c r="AH36" s="482">
        <f t="shared" si="39"/>
        <v>199.36</v>
      </c>
      <c r="AI36" s="482">
        <f t="shared" si="40"/>
        <v>398.16</v>
      </c>
      <c r="AJ36" s="482">
        <f t="shared" si="41"/>
        <v>0</v>
      </c>
      <c r="AK36" s="482">
        <f t="shared" si="42"/>
        <v>198.8</v>
      </c>
      <c r="AL36" s="482">
        <f t="shared" si="43"/>
        <v>66.36</v>
      </c>
      <c r="AM36" s="482">
        <f t="shared" si="44"/>
        <v>265.16000000000003</v>
      </c>
      <c r="AN36" s="482">
        <f t="shared" si="45"/>
        <v>133</v>
      </c>
      <c r="AO36" s="482">
        <f t="shared" si="46"/>
        <v>331.8</v>
      </c>
      <c r="AP36" s="482">
        <f t="shared" si="47"/>
        <v>199.36</v>
      </c>
      <c r="AQ36" s="482">
        <f t="shared" si="48"/>
        <v>398.16</v>
      </c>
      <c r="AR36" s="482">
        <f t="shared" si="49"/>
        <v>0</v>
      </c>
      <c r="AS36" s="482">
        <f t="shared" si="50"/>
        <v>198.8</v>
      </c>
      <c r="AT36" s="482">
        <f t="shared" si="51"/>
        <v>66.36</v>
      </c>
      <c r="AU36" s="482">
        <f t="shared" si="52"/>
        <v>265.16000000000003</v>
      </c>
      <c r="AV36" s="482">
        <f t="shared" si="53"/>
        <v>133</v>
      </c>
      <c r="AW36" s="482">
        <f t="shared" si="54"/>
        <v>331.8</v>
      </c>
      <c r="AX36" s="482">
        <f t="shared" si="55"/>
        <v>199.36</v>
      </c>
      <c r="AY36" s="482">
        <f t="shared" si="56"/>
        <v>398.16</v>
      </c>
      <c r="AZ36" s="482">
        <f t="shared" si="57"/>
        <v>0</v>
      </c>
      <c r="BA36" s="482">
        <f t="shared" si="58"/>
        <v>198.8</v>
      </c>
      <c r="BB36" s="482">
        <f t="shared" si="59"/>
        <v>66.36</v>
      </c>
      <c r="BC36" s="482">
        <f t="shared" si="60"/>
        <v>265.16000000000003</v>
      </c>
      <c r="BD36" s="482">
        <f t="shared" si="61"/>
        <v>133</v>
      </c>
      <c r="BE36" s="482">
        <f t="shared" si="62"/>
        <v>331.8</v>
      </c>
      <c r="BF36" s="482">
        <f t="shared" si="63"/>
        <v>199.36</v>
      </c>
      <c r="BG36" s="482">
        <f t="shared" si="64"/>
        <v>398.16</v>
      </c>
    </row>
    <row r="37" spans="1:59">
      <c r="A37" s="213" t="s">
        <v>5317</v>
      </c>
      <c r="B37" s="231">
        <v>606263264</v>
      </c>
      <c r="C37" s="210" t="s">
        <v>5284</v>
      </c>
      <c r="D37" s="210">
        <v>1</v>
      </c>
      <c r="F37" s="239" t="str" cm="1">
        <f t="array" aca="1" ref="F37" ca="1">MID(met2utc(PEPSSI_Commanding[[#This Row],[MET]]),3,15)</f>
        <v>25-096/16:35:48</v>
      </c>
      <c r="G37" s="213" t="str">
        <f t="shared" si="15"/>
        <v>STAT+1</v>
      </c>
      <c r="H37" s="214">
        <f t="shared" si="16"/>
        <v>606263216</v>
      </c>
      <c r="I37" s="214">
        <f t="shared" si="17"/>
        <v>606265066</v>
      </c>
      <c r="J37" s="213">
        <f t="shared" si="18"/>
        <v>5</v>
      </c>
      <c r="K37" s="213">
        <f t="shared" si="19"/>
        <v>5</v>
      </c>
      <c r="M37" s="210">
        <f t="shared" si="20"/>
        <v>10</v>
      </c>
      <c r="N37" s="210">
        <f t="shared" si="21"/>
        <v>10</v>
      </c>
      <c r="O37" s="210">
        <f t="shared" si="22"/>
        <v>300</v>
      </c>
      <c r="P37" s="210">
        <f t="shared" si="23"/>
        <v>1</v>
      </c>
      <c r="Q37" s="210" t="str">
        <f t="shared" si="24"/>
        <v/>
      </c>
      <c r="R37" s="210" t="str">
        <f t="shared" si="25"/>
        <v/>
      </c>
      <c r="S37" s="210" t="str">
        <f t="shared" si="26"/>
        <v/>
      </c>
      <c r="U37" s="482">
        <f t="shared" si="27"/>
        <v>0</v>
      </c>
      <c r="V37" s="482">
        <f t="shared" si="28"/>
        <v>0</v>
      </c>
      <c r="W37" s="482">
        <f t="shared" si="29"/>
        <v>512</v>
      </c>
      <c r="X37" s="482">
        <f t="shared" si="30"/>
        <v>198.8</v>
      </c>
      <c r="Y37" s="482">
        <f t="shared" si="31"/>
        <v>133</v>
      </c>
      <c r="Z37" s="482">
        <f t="shared" si="32"/>
        <v>133</v>
      </c>
      <c r="AA37" s="482">
        <f t="shared" si="33"/>
        <v>66.36</v>
      </c>
      <c r="AB37" s="243"/>
      <c r="AC37" s="482">
        <f t="shared" si="34"/>
        <v>198.8</v>
      </c>
      <c r="AD37" s="482">
        <f t="shared" si="35"/>
        <v>66.36</v>
      </c>
      <c r="AE37" s="482">
        <f t="shared" si="36"/>
        <v>265.16000000000003</v>
      </c>
      <c r="AF37" s="482">
        <f t="shared" si="37"/>
        <v>133</v>
      </c>
      <c r="AG37" s="482">
        <f t="shared" si="38"/>
        <v>331.8</v>
      </c>
      <c r="AH37" s="482">
        <f t="shared" si="39"/>
        <v>199.36</v>
      </c>
      <c r="AI37" s="482">
        <f t="shared" si="40"/>
        <v>398.16</v>
      </c>
      <c r="AJ37" s="482">
        <f t="shared" si="41"/>
        <v>0</v>
      </c>
      <c r="AK37" s="482">
        <f t="shared" si="42"/>
        <v>198.8</v>
      </c>
      <c r="AL37" s="482">
        <f t="shared" si="43"/>
        <v>66.36</v>
      </c>
      <c r="AM37" s="482">
        <f t="shared" si="44"/>
        <v>265.16000000000003</v>
      </c>
      <c r="AN37" s="482">
        <f t="shared" si="45"/>
        <v>133</v>
      </c>
      <c r="AO37" s="482">
        <f t="shared" si="46"/>
        <v>331.8</v>
      </c>
      <c r="AP37" s="482">
        <f t="shared" si="47"/>
        <v>199.36</v>
      </c>
      <c r="AQ37" s="482">
        <f t="shared" si="48"/>
        <v>398.16</v>
      </c>
      <c r="AR37" s="482">
        <f t="shared" si="49"/>
        <v>512</v>
      </c>
      <c r="AS37" s="482">
        <f t="shared" si="50"/>
        <v>710.8</v>
      </c>
      <c r="AT37" s="482">
        <f t="shared" si="51"/>
        <v>578.36</v>
      </c>
      <c r="AU37" s="482">
        <f t="shared" si="52"/>
        <v>777.16000000000008</v>
      </c>
      <c r="AV37" s="482">
        <f t="shared" si="53"/>
        <v>645</v>
      </c>
      <c r="AW37" s="482">
        <f t="shared" si="54"/>
        <v>843.8</v>
      </c>
      <c r="AX37" s="482">
        <f t="shared" si="55"/>
        <v>711.36</v>
      </c>
      <c r="AY37" s="482">
        <f t="shared" si="56"/>
        <v>910.16000000000008</v>
      </c>
      <c r="AZ37" s="482">
        <f t="shared" si="57"/>
        <v>512</v>
      </c>
      <c r="BA37" s="482">
        <f t="shared" si="58"/>
        <v>710.8</v>
      </c>
      <c r="BB37" s="482">
        <f t="shared" si="59"/>
        <v>578.36</v>
      </c>
      <c r="BC37" s="482">
        <f t="shared" si="60"/>
        <v>777.16000000000008</v>
      </c>
      <c r="BD37" s="482">
        <f t="shared" si="61"/>
        <v>645</v>
      </c>
      <c r="BE37" s="482">
        <f t="shared" si="62"/>
        <v>843.8</v>
      </c>
      <c r="BF37" s="482">
        <f t="shared" si="63"/>
        <v>711.36</v>
      </c>
      <c r="BG37" s="482">
        <f t="shared" si="64"/>
        <v>910.16000000000008</v>
      </c>
    </row>
    <row r="38" spans="1:59">
      <c r="A38" s="213" t="s">
        <v>5316</v>
      </c>
      <c r="B38" s="231">
        <v>606264747</v>
      </c>
      <c r="C38" s="210" t="s">
        <v>61</v>
      </c>
      <c r="D38" s="210">
        <v>40</v>
      </c>
      <c r="F38" s="239" t="str" cm="1">
        <f t="array" aca="1" ref="F38" ca="1">MID(met2utc(PEPSSI_Commanding[[#This Row],[MET]]),3,15)</f>
        <v>25-096/17:00:31</v>
      </c>
      <c r="G38" s="213" t="str">
        <f t="shared" si="15"/>
        <v>N2+40</v>
      </c>
      <c r="H38" s="214">
        <f t="shared" si="16"/>
        <v>606263216</v>
      </c>
      <c r="I38" s="214">
        <f t="shared" si="17"/>
        <v>606265066</v>
      </c>
      <c r="J38" s="213">
        <f t="shared" si="18"/>
        <v>6</v>
      </c>
      <c r="K38" s="213">
        <f t="shared" si="19"/>
        <v>4</v>
      </c>
      <c r="M38" s="210">
        <f t="shared" si="20"/>
        <v>10</v>
      </c>
      <c r="N38" s="210">
        <f t="shared" si="21"/>
        <v>40</v>
      </c>
      <c r="O38" s="210">
        <f t="shared" si="22"/>
        <v>300</v>
      </c>
      <c r="P38" s="210">
        <f t="shared" si="23"/>
        <v>1</v>
      </c>
      <c r="Q38" s="210" t="str">
        <f t="shared" si="24"/>
        <v/>
      </c>
      <c r="R38" s="210" t="str">
        <f t="shared" si="25"/>
        <v/>
      </c>
      <c r="S38" s="210" t="str">
        <f t="shared" si="26"/>
        <v/>
      </c>
      <c r="U38" s="482">
        <f t="shared" si="27"/>
        <v>0</v>
      </c>
      <c r="V38" s="482">
        <f t="shared" si="28"/>
        <v>0</v>
      </c>
      <c r="W38" s="482">
        <f t="shared" si="29"/>
        <v>512</v>
      </c>
      <c r="X38" s="482">
        <f t="shared" si="30"/>
        <v>198.8</v>
      </c>
      <c r="Y38" s="482">
        <f t="shared" si="31"/>
        <v>33.25</v>
      </c>
      <c r="Z38" s="482">
        <f t="shared" si="32"/>
        <v>33.25</v>
      </c>
      <c r="AA38" s="482">
        <f t="shared" si="33"/>
        <v>66.36</v>
      </c>
      <c r="AB38" s="243"/>
      <c r="AC38" s="482">
        <f t="shared" si="34"/>
        <v>198.8</v>
      </c>
      <c r="AD38" s="482">
        <f t="shared" si="35"/>
        <v>66.36</v>
      </c>
      <c r="AE38" s="482">
        <f t="shared" si="36"/>
        <v>265.16000000000003</v>
      </c>
      <c r="AF38" s="482">
        <f t="shared" si="37"/>
        <v>33.25</v>
      </c>
      <c r="AG38" s="482">
        <f t="shared" si="38"/>
        <v>232.05</v>
      </c>
      <c r="AH38" s="482">
        <f t="shared" si="39"/>
        <v>99.61</v>
      </c>
      <c r="AI38" s="482">
        <f t="shared" si="40"/>
        <v>298.41000000000003</v>
      </c>
      <c r="AJ38" s="482">
        <f t="shared" si="41"/>
        <v>0</v>
      </c>
      <c r="AK38" s="482">
        <f t="shared" si="42"/>
        <v>198.8</v>
      </c>
      <c r="AL38" s="482">
        <f t="shared" si="43"/>
        <v>66.36</v>
      </c>
      <c r="AM38" s="482">
        <f t="shared" si="44"/>
        <v>265.16000000000003</v>
      </c>
      <c r="AN38" s="482">
        <f t="shared" si="45"/>
        <v>33.25</v>
      </c>
      <c r="AO38" s="482">
        <f t="shared" si="46"/>
        <v>232.05</v>
      </c>
      <c r="AP38" s="482">
        <f t="shared" si="47"/>
        <v>99.61</v>
      </c>
      <c r="AQ38" s="482">
        <f t="shared" si="48"/>
        <v>298.41000000000003</v>
      </c>
      <c r="AR38" s="482">
        <f t="shared" si="49"/>
        <v>512</v>
      </c>
      <c r="AS38" s="482">
        <f t="shared" si="50"/>
        <v>710.8</v>
      </c>
      <c r="AT38" s="482">
        <f t="shared" si="51"/>
        <v>578.36</v>
      </c>
      <c r="AU38" s="482">
        <f t="shared" si="52"/>
        <v>777.16000000000008</v>
      </c>
      <c r="AV38" s="482">
        <f t="shared" si="53"/>
        <v>545.25</v>
      </c>
      <c r="AW38" s="482">
        <f t="shared" si="54"/>
        <v>744.05</v>
      </c>
      <c r="AX38" s="482">
        <f t="shared" si="55"/>
        <v>611.61</v>
      </c>
      <c r="AY38" s="482">
        <f t="shared" si="56"/>
        <v>810.41000000000008</v>
      </c>
      <c r="AZ38" s="482">
        <f t="shared" si="57"/>
        <v>512</v>
      </c>
      <c r="BA38" s="482">
        <f t="shared" si="58"/>
        <v>710.8</v>
      </c>
      <c r="BB38" s="482">
        <f t="shared" si="59"/>
        <v>578.36</v>
      </c>
      <c r="BC38" s="482">
        <f t="shared" si="60"/>
        <v>777.16000000000008</v>
      </c>
      <c r="BD38" s="482">
        <f t="shared" si="61"/>
        <v>545.25</v>
      </c>
      <c r="BE38" s="482">
        <f t="shared" si="62"/>
        <v>744.05</v>
      </c>
      <c r="BF38" s="482">
        <f t="shared" si="63"/>
        <v>611.61</v>
      </c>
      <c r="BG38" s="482">
        <f t="shared" si="64"/>
        <v>810.41000000000008</v>
      </c>
    </row>
    <row r="39" spans="1:59">
      <c r="A39" s="213" t="s">
        <v>5316</v>
      </c>
      <c r="B39" s="231">
        <v>606264748</v>
      </c>
      <c r="C39" s="210" t="s">
        <v>58</v>
      </c>
      <c r="D39" s="210">
        <v>7200</v>
      </c>
      <c r="F39" s="239" t="str" cm="1">
        <f t="array" aca="1" ref="F39" ca="1">MID(met2utc(PEPSSI_Commanding[[#This Row],[MET]]),3,15)</f>
        <v>25-096/17:00:32</v>
      </c>
      <c r="G39" s="213" t="str">
        <f t="shared" si="15"/>
        <v>N3+7200</v>
      </c>
      <c r="H39" s="214">
        <f t="shared" si="16"/>
        <v>606263216</v>
      </c>
      <c r="I39" s="214">
        <f t="shared" si="17"/>
        <v>606265066</v>
      </c>
      <c r="J39" s="213">
        <f t="shared" si="18"/>
        <v>7</v>
      </c>
      <c r="K39" s="213">
        <f t="shared" si="19"/>
        <v>3</v>
      </c>
      <c r="M39" s="210">
        <f t="shared" si="20"/>
        <v>10</v>
      </c>
      <c r="N39" s="210">
        <f t="shared" si="21"/>
        <v>40</v>
      </c>
      <c r="O39" s="210">
        <f t="shared" si="22"/>
        <v>7200</v>
      </c>
      <c r="P39" s="210">
        <f t="shared" si="23"/>
        <v>1</v>
      </c>
      <c r="Q39" s="210" t="str">
        <f t="shared" si="24"/>
        <v/>
      </c>
      <c r="R39" s="210" t="str">
        <f t="shared" si="25"/>
        <v/>
      </c>
      <c r="S39" s="210" t="str">
        <f t="shared" si="26"/>
        <v/>
      </c>
      <c r="U39" s="482">
        <f t="shared" si="27"/>
        <v>0</v>
      </c>
      <c r="V39" s="482">
        <f t="shared" si="28"/>
        <v>0</v>
      </c>
      <c r="W39" s="482">
        <f t="shared" si="29"/>
        <v>512</v>
      </c>
      <c r="X39" s="482">
        <f t="shared" si="30"/>
        <v>198.8</v>
      </c>
      <c r="Y39" s="482">
        <f t="shared" si="31"/>
        <v>33.25</v>
      </c>
      <c r="Z39" s="482">
        <f t="shared" si="32"/>
        <v>33.25</v>
      </c>
      <c r="AA39" s="482">
        <f t="shared" si="33"/>
        <v>2.7650000000000001</v>
      </c>
      <c r="AB39" s="243"/>
      <c r="AC39" s="482">
        <f t="shared" si="34"/>
        <v>198.8</v>
      </c>
      <c r="AD39" s="482">
        <f t="shared" si="35"/>
        <v>2.7650000000000001</v>
      </c>
      <c r="AE39" s="482">
        <f t="shared" si="36"/>
        <v>201.565</v>
      </c>
      <c r="AF39" s="482">
        <f t="shared" si="37"/>
        <v>33.25</v>
      </c>
      <c r="AG39" s="482">
        <f t="shared" si="38"/>
        <v>232.05</v>
      </c>
      <c r="AH39" s="482">
        <f t="shared" si="39"/>
        <v>36.015000000000001</v>
      </c>
      <c r="AI39" s="482">
        <f t="shared" si="40"/>
        <v>234.815</v>
      </c>
      <c r="AJ39" s="482">
        <f t="shared" si="41"/>
        <v>0</v>
      </c>
      <c r="AK39" s="482">
        <f t="shared" si="42"/>
        <v>198.8</v>
      </c>
      <c r="AL39" s="482">
        <f t="shared" si="43"/>
        <v>2.7650000000000001</v>
      </c>
      <c r="AM39" s="482">
        <f t="shared" si="44"/>
        <v>201.565</v>
      </c>
      <c r="AN39" s="482">
        <f t="shared" si="45"/>
        <v>33.25</v>
      </c>
      <c r="AO39" s="482">
        <f t="shared" si="46"/>
        <v>232.05</v>
      </c>
      <c r="AP39" s="482">
        <f t="shared" si="47"/>
        <v>36.015000000000001</v>
      </c>
      <c r="AQ39" s="482">
        <f t="shared" si="48"/>
        <v>234.815</v>
      </c>
      <c r="AR39" s="482">
        <f t="shared" si="49"/>
        <v>512</v>
      </c>
      <c r="AS39" s="482">
        <f t="shared" si="50"/>
        <v>710.8</v>
      </c>
      <c r="AT39" s="482">
        <f t="shared" si="51"/>
        <v>514.76499999999999</v>
      </c>
      <c r="AU39" s="482">
        <f t="shared" si="52"/>
        <v>713.56500000000005</v>
      </c>
      <c r="AV39" s="482">
        <f t="shared" si="53"/>
        <v>545.25</v>
      </c>
      <c r="AW39" s="482">
        <f t="shared" si="54"/>
        <v>744.05</v>
      </c>
      <c r="AX39" s="482">
        <f t="shared" si="55"/>
        <v>548.01499999999999</v>
      </c>
      <c r="AY39" s="482">
        <f t="shared" si="56"/>
        <v>746.81500000000005</v>
      </c>
      <c r="AZ39" s="482">
        <f t="shared" si="57"/>
        <v>512</v>
      </c>
      <c r="BA39" s="482">
        <f t="shared" si="58"/>
        <v>710.8</v>
      </c>
      <c r="BB39" s="482">
        <f t="shared" si="59"/>
        <v>514.76499999999999</v>
      </c>
      <c r="BC39" s="482">
        <f t="shared" si="60"/>
        <v>713.56500000000005</v>
      </c>
      <c r="BD39" s="482">
        <f t="shared" si="61"/>
        <v>545.25</v>
      </c>
      <c r="BE39" s="482">
        <f t="shared" si="62"/>
        <v>744.05</v>
      </c>
      <c r="BF39" s="482">
        <f t="shared" si="63"/>
        <v>548.01499999999999</v>
      </c>
      <c r="BG39" s="482">
        <f t="shared" si="64"/>
        <v>746.81500000000005</v>
      </c>
    </row>
    <row r="40" spans="1:59">
      <c r="A40" s="213" t="s">
        <v>5316</v>
      </c>
      <c r="B40" s="231">
        <v>606264749</v>
      </c>
      <c r="C40" s="210" t="s">
        <v>1</v>
      </c>
      <c r="D40" s="210">
        <v>3600</v>
      </c>
      <c r="F40" s="239" t="str" cm="1">
        <f t="array" aca="1" ref="F40" ca="1">MID(met2utc(PEPSSI_Commanding[[#This Row],[MET]]),3,15)</f>
        <v>25-096/17:00:33</v>
      </c>
      <c r="G40" s="213" t="str">
        <f t="shared" si="15"/>
        <v>N1+3600</v>
      </c>
      <c r="H40" s="214">
        <f t="shared" si="16"/>
        <v>606263216</v>
      </c>
      <c r="I40" s="214">
        <f t="shared" si="17"/>
        <v>606265066</v>
      </c>
      <c r="J40" s="213">
        <f t="shared" si="18"/>
        <v>8</v>
      </c>
      <c r="K40" s="213">
        <f t="shared" si="19"/>
        <v>2</v>
      </c>
      <c r="M40" s="210">
        <f t="shared" si="20"/>
        <v>3600</v>
      </c>
      <c r="N40" s="210">
        <f t="shared" si="21"/>
        <v>40</v>
      </c>
      <c r="O40" s="210">
        <f t="shared" si="22"/>
        <v>7200</v>
      </c>
      <c r="P40" s="210">
        <f t="shared" si="23"/>
        <v>1</v>
      </c>
      <c r="Q40" s="210" t="str">
        <f t="shared" si="24"/>
        <v/>
      </c>
      <c r="R40" s="210" t="str">
        <f t="shared" si="25"/>
        <v/>
      </c>
      <c r="S40" s="210" t="str">
        <f t="shared" si="26"/>
        <v/>
      </c>
      <c r="U40" s="482">
        <f t="shared" si="27"/>
        <v>0</v>
      </c>
      <c r="V40" s="482">
        <f t="shared" si="28"/>
        <v>0</v>
      </c>
      <c r="W40" s="482">
        <f t="shared" si="29"/>
        <v>512</v>
      </c>
      <c r="X40" s="482">
        <f t="shared" si="30"/>
        <v>0.55222222222222217</v>
      </c>
      <c r="Y40" s="482">
        <f t="shared" si="31"/>
        <v>33.25</v>
      </c>
      <c r="Z40" s="482">
        <f t="shared" si="32"/>
        <v>33.25</v>
      </c>
      <c r="AA40" s="482">
        <f t="shared" si="33"/>
        <v>2.7650000000000001</v>
      </c>
      <c r="AB40" s="243"/>
      <c r="AC40" s="482">
        <f t="shared" si="34"/>
        <v>0.55222222222222217</v>
      </c>
      <c r="AD40" s="482">
        <f t="shared" si="35"/>
        <v>2.7650000000000001</v>
      </c>
      <c r="AE40" s="482">
        <f t="shared" si="36"/>
        <v>3.3172222222222221</v>
      </c>
      <c r="AF40" s="482">
        <f t="shared" si="37"/>
        <v>33.25</v>
      </c>
      <c r="AG40" s="482">
        <f t="shared" si="38"/>
        <v>33.80222222222222</v>
      </c>
      <c r="AH40" s="482">
        <f t="shared" si="39"/>
        <v>36.015000000000001</v>
      </c>
      <c r="AI40" s="482">
        <f t="shared" si="40"/>
        <v>36.56722222222222</v>
      </c>
      <c r="AJ40" s="482">
        <f t="shared" si="41"/>
        <v>0</v>
      </c>
      <c r="AK40" s="482">
        <f t="shared" si="42"/>
        <v>0.55222222222222217</v>
      </c>
      <c r="AL40" s="482">
        <f t="shared" si="43"/>
        <v>2.7650000000000001</v>
      </c>
      <c r="AM40" s="482">
        <f t="shared" si="44"/>
        <v>3.3172222222222221</v>
      </c>
      <c r="AN40" s="482">
        <f t="shared" si="45"/>
        <v>33.25</v>
      </c>
      <c r="AO40" s="482">
        <f t="shared" si="46"/>
        <v>33.80222222222222</v>
      </c>
      <c r="AP40" s="482">
        <f t="shared" si="47"/>
        <v>36.015000000000001</v>
      </c>
      <c r="AQ40" s="482">
        <f t="shared" si="48"/>
        <v>36.56722222222222</v>
      </c>
      <c r="AR40" s="482">
        <f t="shared" si="49"/>
        <v>512</v>
      </c>
      <c r="AS40" s="482">
        <f t="shared" si="50"/>
        <v>512.55222222222221</v>
      </c>
      <c r="AT40" s="482">
        <f t="shared" si="51"/>
        <v>514.76499999999999</v>
      </c>
      <c r="AU40" s="482">
        <f t="shared" si="52"/>
        <v>515.3172222222222</v>
      </c>
      <c r="AV40" s="482">
        <f t="shared" si="53"/>
        <v>545.25</v>
      </c>
      <c r="AW40" s="482">
        <f t="shared" si="54"/>
        <v>545.80222222222221</v>
      </c>
      <c r="AX40" s="482">
        <f t="shared" si="55"/>
        <v>548.01499999999999</v>
      </c>
      <c r="AY40" s="482">
        <f t="shared" si="56"/>
        <v>548.5672222222222</v>
      </c>
      <c r="AZ40" s="482">
        <f t="shared" si="57"/>
        <v>512</v>
      </c>
      <c r="BA40" s="482">
        <f t="shared" si="58"/>
        <v>512.55222222222221</v>
      </c>
      <c r="BB40" s="482">
        <f t="shared" si="59"/>
        <v>514.76499999999999</v>
      </c>
      <c r="BC40" s="482">
        <f t="shared" si="60"/>
        <v>515.3172222222222</v>
      </c>
      <c r="BD40" s="482">
        <f t="shared" si="61"/>
        <v>545.25</v>
      </c>
      <c r="BE40" s="482">
        <f t="shared" si="62"/>
        <v>545.80222222222221</v>
      </c>
      <c r="BF40" s="482">
        <f t="shared" si="63"/>
        <v>548.01499999999999</v>
      </c>
      <c r="BG40" s="482">
        <f t="shared" si="64"/>
        <v>548.5672222222222</v>
      </c>
    </row>
    <row r="41" spans="1:59">
      <c r="A41" s="213" t="s">
        <v>5317</v>
      </c>
      <c r="B41" s="231">
        <v>606264750</v>
      </c>
      <c r="C41" s="210" t="s">
        <v>5284</v>
      </c>
      <c r="D41" s="210">
        <v>300</v>
      </c>
      <c r="F41" s="239" t="str" cm="1">
        <f t="array" aca="1" ref="F41" ca="1">MID(met2utc(PEPSSI_Commanding[[#This Row],[MET]]),3,15)</f>
        <v>25-096/17:00:34</v>
      </c>
      <c r="G41" s="213" t="str">
        <f t="shared" si="15"/>
        <v>STAT+300</v>
      </c>
      <c r="H41" s="214">
        <f t="shared" si="16"/>
        <v>606263216</v>
      </c>
      <c r="I41" s="214">
        <f t="shared" si="17"/>
        <v>606265066</v>
      </c>
      <c r="J41" s="213">
        <f t="shared" si="18"/>
        <v>9</v>
      </c>
      <c r="K41" s="213">
        <f t="shared" si="19"/>
        <v>1</v>
      </c>
      <c r="M41" s="210">
        <f t="shared" si="20"/>
        <v>3600</v>
      </c>
      <c r="N41" s="210">
        <f t="shared" si="21"/>
        <v>40</v>
      </c>
      <c r="O41" s="210">
        <f t="shared" si="22"/>
        <v>7200</v>
      </c>
      <c r="P41" s="210">
        <f t="shared" si="23"/>
        <v>300</v>
      </c>
      <c r="Q41" s="210" t="str">
        <f t="shared" si="24"/>
        <v/>
      </c>
      <c r="R41" s="210" t="str">
        <f t="shared" si="25"/>
        <v/>
      </c>
      <c r="S41" s="210" t="str">
        <f t="shared" si="26"/>
        <v/>
      </c>
      <c r="U41" s="482">
        <f t="shared" si="27"/>
        <v>0</v>
      </c>
      <c r="V41" s="482">
        <f t="shared" si="28"/>
        <v>0</v>
      </c>
      <c r="W41" s="482">
        <f t="shared" si="29"/>
        <v>1.7066666666666668</v>
      </c>
      <c r="X41" s="482">
        <f t="shared" si="30"/>
        <v>0.55222222222222217</v>
      </c>
      <c r="Y41" s="482">
        <f t="shared" si="31"/>
        <v>33.25</v>
      </c>
      <c r="Z41" s="482">
        <f t="shared" si="32"/>
        <v>33.25</v>
      </c>
      <c r="AA41" s="482">
        <f t="shared" si="33"/>
        <v>2.7650000000000001</v>
      </c>
      <c r="AB41" s="243"/>
      <c r="AC41" s="482">
        <f t="shared" si="34"/>
        <v>0.55222222222222217</v>
      </c>
      <c r="AD41" s="482">
        <f t="shared" si="35"/>
        <v>2.7650000000000001</v>
      </c>
      <c r="AE41" s="482">
        <f t="shared" si="36"/>
        <v>3.3172222222222221</v>
      </c>
      <c r="AF41" s="482">
        <f t="shared" si="37"/>
        <v>33.25</v>
      </c>
      <c r="AG41" s="482">
        <f t="shared" si="38"/>
        <v>33.80222222222222</v>
      </c>
      <c r="AH41" s="482">
        <f t="shared" si="39"/>
        <v>36.015000000000001</v>
      </c>
      <c r="AI41" s="482">
        <f t="shared" si="40"/>
        <v>36.56722222222222</v>
      </c>
      <c r="AJ41" s="482">
        <f t="shared" si="41"/>
        <v>0</v>
      </c>
      <c r="AK41" s="482">
        <f t="shared" si="42"/>
        <v>0.55222222222222217</v>
      </c>
      <c r="AL41" s="482">
        <f t="shared" si="43"/>
        <v>2.7650000000000001</v>
      </c>
      <c r="AM41" s="482">
        <f t="shared" si="44"/>
        <v>3.3172222222222221</v>
      </c>
      <c r="AN41" s="482">
        <f t="shared" si="45"/>
        <v>33.25</v>
      </c>
      <c r="AO41" s="482">
        <f t="shared" si="46"/>
        <v>33.80222222222222</v>
      </c>
      <c r="AP41" s="482">
        <f t="shared" si="47"/>
        <v>36.015000000000001</v>
      </c>
      <c r="AQ41" s="482">
        <f t="shared" si="48"/>
        <v>36.56722222222222</v>
      </c>
      <c r="AR41" s="482">
        <f t="shared" si="49"/>
        <v>1.7066666666666668</v>
      </c>
      <c r="AS41" s="482">
        <f t="shared" si="50"/>
        <v>2.2588888888888889</v>
      </c>
      <c r="AT41" s="482">
        <f t="shared" si="51"/>
        <v>4.4716666666666667</v>
      </c>
      <c r="AU41" s="482">
        <f t="shared" si="52"/>
        <v>5.0238888888888891</v>
      </c>
      <c r="AV41" s="482">
        <f t="shared" si="53"/>
        <v>34.956666666666663</v>
      </c>
      <c r="AW41" s="482">
        <f t="shared" si="54"/>
        <v>35.508888888888883</v>
      </c>
      <c r="AX41" s="482">
        <f t="shared" si="55"/>
        <v>37.721666666666664</v>
      </c>
      <c r="AY41" s="482">
        <f t="shared" si="56"/>
        <v>38.273888888888884</v>
      </c>
      <c r="AZ41" s="482">
        <f t="shared" si="57"/>
        <v>1.7066666666666668</v>
      </c>
      <c r="BA41" s="482">
        <f t="shared" si="58"/>
        <v>2.2588888888888889</v>
      </c>
      <c r="BB41" s="482">
        <f t="shared" si="59"/>
        <v>4.4716666666666667</v>
      </c>
      <c r="BC41" s="482">
        <f t="shared" si="60"/>
        <v>5.0238888888888891</v>
      </c>
      <c r="BD41" s="482">
        <f t="shared" si="61"/>
        <v>34.956666666666663</v>
      </c>
      <c r="BE41" s="482">
        <f t="shared" si="62"/>
        <v>35.508888888888883</v>
      </c>
      <c r="BF41" s="482">
        <f t="shared" si="63"/>
        <v>37.721666666666664</v>
      </c>
      <c r="BG41" s="482">
        <f t="shared" si="64"/>
        <v>38.273888888888884</v>
      </c>
    </row>
    <row r="42" spans="1:59">
      <c r="A42" s="213" t="s">
        <v>5316</v>
      </c>
      <c r="B42" s="231">
        <v>606265066</v>
      </c>
      <c r="C42" s="210" t="s">
        <v>61</v>
      </c>
      <c r="D42" s="210">
        <v>120</v>
      </c>
      <c r="F42" s="239" t="str" cm="1">
        <f t="array" aca="1" ref="F42" ca="1">MID(met2utc(PEPSSI_Commanding[[#This Row],[MET]]),3,15)</f>
        <v>25-096/17:05:50</v>
      </c>
      <c r="G42" s="213" t="str">
        <f t="shared" si="15"/>
        <v>N2+120</v>
      </c>
      <c r="H42" s="214">
        <f t="shared" si="16"/>
        <v>606265066</v>
      </c>
      <c r="I42" s="214">
        <f t="shared" si="17"/>
        <v>607931286</v>
      </c>
      <c r="J42" s="213">
        <f t="shared" si="18"/>
        <v>10</v>
      </c>
      <c r="K42" s="213">
        <f t="shared" si="19"/>
        <v>6</v>
      </c>
      <c r="M42" s="210">
        <f t="shared" si="20"/>
        <v>3600</v>
      </c>
      <c r="N42" s="210">
        <f t="shared" si="21"/>
        <v>120</v>
      </c>
      <c r="O42" s="210">
        <f t="shared" si="22"/>
        <v>7200</v>
      </c>
      <c r="P42" s="210">
        <f t="shared" si="23"/>
        <v>300</v>
      </c>
      <c r="Q42" s="210" t="str">
        <f t="shared" si="24"/>
        <v/>
      </c>
      <c r="R42" s="210" t="str">
        <f t="shared" si="25"/>
        <v/>
      </c>
      <c r="S42" s="210" t="str">
        <f t="shared" si="26"/>
        <v/>
      </c>
      <c r="U42" s="482">
        <f t="shared" si="27"/>
        <v>0</v>
      </c>
      <c r="V42" s="482">
        <f t="shared" si="28"/>
        <v>0</v>
      </c>
      <c r="W42" s="482">
        <f t="shared" si="29"/>
        <v>1.7066666666666668</v>
      </c>
      <c r="X42" s="482">
        <f t="shared" si="30"/>
        <v>0.55222222222222217</v>
      </c>
      <c r="Y42" s="482">
        <f t="shared" si="31"/>
        <v>11.083333333333334</v>
      </c>
      <c r="Z42" s="482">
        <f t="shared" si="32"/>
        <v>11.083333333333334</v>
      </c>
      <c r="AA42" s="482">
        <f t="shared" si="33"/>
        <v>2.7650000000000001</v>
      </c>
      <c r="AB42" s="243"/>
      <c r="AC42" s="482">
        <f t="shared" si="34"/>
        <v>0.55222222222222217</v>
      </c>
      <c r="AD42" s="482">
        <f t="shared" si="35"/>
        <v>2.7650000000000001</v>
      </c>
      <c r="AE42" s="482">
        <f t="shared" si="36"/>
        <v>3.3172222222222221</v>
      </c>
      <c r="AF42" s="482">
        <f t="shared" si="37"/>
        <v>11.083333333333334</v>
      </c>
      <c r="AG42" s="482">
        <f t="shared" si="38"/>
        <v>11.635555555555555</v>
      </c>
      <c r="AH42" s="482">
        <f t="shared" si="39"/>
        <v>13.848333333333334</v>
      </c>
      <c r="AI42" s="482">
        <f t="shared" si="40"/>
        <v>14.400555555555556</v>
      </c>
      <c r="AJ42" s="482">
        <f t="shared" si="41"/>
        <v>0</v>
      </c>
      <c r="AK42" s="482">
        <f t="shared" si="42"/>
        <v>0.55222222222222217</v>
      </c>
      <c r="AL42" s="482">
        <f t="shared" si="43"/>
        <v>2.7650000000000001</v>
      </c>
      <c r="AM42" s="482">
        <f t="shared" si="44"/>
        <v>3.3172222222222221</v>
      </c>
      <c r="AN42" s="482">
        <f t="shared" si="45"/>
        <v>11.083333333333334</v>
      </c>
      <c r="AO42" s="482">
        <f t="shared" si="46"/>
        <v>11.635555555555555</v>
      </c>
      <c r="AP42" s="482">
        <f t="shared" si="47"/>
        <v>13.848333333333334</v>
      </c>
      <c r="AQ42" s="482">
        <f t="shared" si="48"/>
        <v>14.400555555555556</v>
      </c>
      <c r="AR42" s="482">
        <f t="shared" si="49"/>
        <v>1.7066666666666668</v>
      </c>
      <c r="AS42" s="482">
        <f t="shared" si="50"/>
        <v>2.2588888888888889</v>
      </c>
      <c r="AT42" s="482">
        <f t="shared" si="51"/>
        <v>4.4716666666666667</v>
      </c>
      <c r="AU42" s="482">
        <f t="shared" si="52"/>
        <v>5.0238888888888891</v>
      </c>
      <c r="AV42" s="482">
        <f t="shared" si="53"/>
        <v>12.790000000000001</v>
      </c>
      <c r="AW42" s="482">
        <f t="shared" si="54"/>
        <v>13.342222222222222</v>
      </c>
      <c r="AX42" s="482">
        <f t="shared" si="55"/>
        <v>15.555000000000001</v>
      </c>
      <c r="AY42" s="482">
        <f t="shared" si="56"/>
        <v>16.107222222222223</v>
      </c>
      <c r="AZ42" s="482">
        <f t="shared" si="57"/>
        <v>1.7066666666666668</v>
      </c>
      <c r="BA42" s="482">
        <f t="shared" si="58"/>
        <v>2.2588888888888889</v>
      </c>
      <c r="BB42" s="482">
        <f t="shared" si="59"/>
        <v>4.4716666666666667</v>
      </c>
      <c r="BC42" s="482">
        <f t="shared" si="60"/>
        <v>5.0238888888888891</v>
      </c>
      <c r="BD42" s="482">
        <f t="shared" si="61"/>
        <v>12.790000000000001</v>
      </c>
      <c r="BE42" s="482">
        <f t="shared" si="62"/>
        <v>13.342222222222222</v>
      </c>
      <c r="BF42" s="482">
        <f t="shared" si="63"/>
        <v>15.555000000000001</v>
      </c>
      <c r="BG42" s="482">
        <f t="shared" si="64"/>
        <v>16.107222222222223</v>
      </c>
    </row>
    <row r="43" spans="1:59">
      <c r="A43" s="213" t="s">
        <v>5316</v>
      </c>
      <c r="B43" s="231">
        <v>606265069</v>
      </c>
      <c r="C43" s="210" t="s">
        <v>1</v>
      </c>
      <c r="D43" s="210">
        <v>120</v>
      </c>
      <c r="F43" s="239" t="str" cm="1">
        <f t="array" aca="1" ref="F43" ca="1">MID(met2utc(PEPSSI_Commanding[[#This Row],[MET]]),3,15)</f>
        <v>25-096/17:05:53</v>
      </c>
      <c r="G43" s="213" t="str">
        <f t="shared" si="15"/>
        <v>N1+120</v>
      </c>
      <c r="H43" s="214">
        <f t="shared" si="16"/>
        <v>606265066</v>
      </c>
      <c r="I43" s="214">
        <f t="shared" si="17"/>
        <v>607931286</v>
      </c>
      <c r="J43" s="213">
        <f t="shared" si="18"/>
        <v>11</v>
      </c>
      <c r="K43" s="213">
        <f t="shared" si="19"/>
        <v>5</v>
      </c>
      <c r="M43" s="210">
        <f t="shared" si="20"/>
        <v>120</v>
      </c>
      <c r="N43" s="210">
        <f t="shared" si="21"/>
        <v>120</v>
      </c>
      <c r="O43" s="210">
        <f t="shared" si="22"/>
        <v>7200</v>
      </c>
      <c r="P43" s="210">
        <f t="shared" si="23"/>
        <v>300</v>
      </c>
      <c r="Q43" s="210" t="str">
        <f t="shared" si="24"/>
        <v/>
      </c>
      <c r="R43" s="210" t="str">
        <f t="shared" si="25"/>
        <v/>
      </c>
      <c r="S43" s="210" t="str">
        <f t="shared" si="26"/>
        <v/>
      </c>
      <c r="U43" s="482">
        <f t="shared" si="27"/>
        <v>0</v>
      </c>
      <c r="V43" s="482">
        <f t="shared" si="28"/>
        <v>0</v>
      </c>
      <c r="W43" s="482">
        <f t="shared" si="29"/>
        <v>1.7066666666666668</v>
      </c>
      <c r="X43" s="482">
        <f t="shared" si="30"/>
        <v>16.566666666666666</v>
      </c>
      <c r="Y43" s="482">
        <f t="shared" si="31"/>
        <v>11.083333333333334</v>
      </c>
      <c r="Z43" s="482">
        <f t="shared" si="32"/>
        <v>11.083333333333334</v>
      </c>
      <c r="AA43" s="482">
        <f t="shared" si="33"/>
        <v>2.7650000000000001</v>
      </c>
      <c r="AB43" s="243"/>
      <c r="AC43" s="482">
        <f t="shared" si="34"/>
        <v>16.566666666666666</v>
      </c>
      <c r="AD43" s="482">
        <f t="shared" si="35"/>
        <v>2.7650000000000001</v>
      </c>
      <c r="AE43" s="482">
        <f t="shared" si="36"/>
        <v>19.331666666666667</v>
      </c>
      <c r="AF43" s="482">
        <f t="shared" si="37"/>
        <v>11.083333333333334</v>
      </c>
      <c r="AG43" s="482">
        <f t="shared" si="38"/>
        <v>27.65</v>
      </c>
      <c r="AH43" s="482">
        <f t="shared" si="39"/>
        <v>13.848333333333334</v>
      </c>
      <c r="AI43" s="482">
        <f t="shared" si="40"/>
        <v>30.414999999999999</v>
      </c>
      <c r="AJ43" s="482">
        <f t="shared" si="41"/>
        <v>0</v>
      </c>
      <c r="AK43" s="482">
        <f t="shared" si="42"/>
        <v>16.566666666666666</v>
      </c>
      <c r="AL43" s="482">
        <f t="shared" si="43"/>
        <v>2.7650000000000001</v>
      </c>
      <c r="AM43" s="482">
        <f t="shared" si="44"/>
        <v>19.331666666666667</v>
      </c>
      <c r="AN43" s="482">
        <f t="shared" si="45"/>
        <v>11.083333333333334</v>
      </c>
      <c r="AO43" s="482">
        <f t="shared" si="46"/>
        <v>27.65</v>
      </c>
      <c r="AP43" s="482">
        <f t="shared" si="47"/>
        <v>13.848333333333334</v>
      </c>
      <c r="AQ43" s="482">
        <f t="shared" si="48"/>
        <v>30.414999999999999</v>
      </c>
      <c r="AR43" s="482">
        <f t="shared" si="49"/>
        <v>1.7066666666666668</v>
      </c>
      <c r="AS43" s="482">
        <f t="shared" si="50"/>
        <v>18.273333333333333</v>
      </c>
      <c r="AT43" s="482">
        <f t="shared" si="51"/>
        <v>4.4716666666666667</v>
      </c>
      <c r="AU43" s="482">
        <f t="shared" si="52"/>
        <v>21.038333333333334</v>
      </c>
      <c r="AV43" s="482">
        <f t="shared" si="53"/>
        <v>12.790000000000001</v>
      </c>
      <c r="AW43" s="482">
        <f t="shared" si="54"/>
        <v>29.356666666666669</v>
      </c>
      <c r="AX43" s="482">
        <f t="shared" si="55"/>
        <v>15.555000000000001</v>
      </c>
      <c r="AY43" s="482">
        <f t="shared" si="56"/>
        <v>32.12166666666667</v>
      </c>
      <c r="AZ43" s="482">
        <f t="shared" si="57"/>
        <v>1.7066666666666668</v>
      </c>
      <c r="BA43" s="482">
        <f t="shared" si="58"/>
        <v>18.273333333333333</v>
      </c>
      <c r="BB43" s="482">
        <f t="shared" si="59"/>
        <v>4.4716666666666667</v>
      </c>
      <c r="BC43" s="482">
        <f t="shared" si="60"/>
        <v>21.038333333333334</v>
      </c>
      <c r="BD43" s="482">
        <f t="shared" si="61"/>
        <v>12.790000000000001</v>
      </c>
      <c r="BE43" s="482">
        <f t="shared" si="62"/>
        <v>29.356666666666669</v>
      </c>
      <c r="BF43" s="482">
        <f t="shared" si="63"/>
        <v>15.555000000000001</v>
      </c>
      <c r="BG43" s="482">
        <f t="shared" si="64"/>
        <v>32.12166666666667</v>
      </c>
    </row>
    <row r="44" spans="1:59">
      <c r="A44" s="213" t="s">
        <v>5316</v>
      </c>
      <c r="B44" s="231">
        <v>606265072</v>
      </c>
      <c r="C44" s="210" t="s">
        <v>58</v>
      </c>
      <c r="D44" s="210">
        <v>7200</v>
      </c>
      <c r="F44" s="239" t="str" cm="1">
        <f t="array" aca="1" ref="F44" ca="1">MID(met2utc(PEPSSI_Commanding[[#This Row],[MET]]),3,15)</f>
        <v>25-096/17:05:56</v>
      </c>
      <c r="G44" s="213" t="str">
        <f t="shared" si="15"/>
        <v>N3+7200</v>
      </c>
      <c r="H44" s="214">
        <f t="shared" si="16"/>
        <v>606265066</v>
      </c>
      <c r="I44" s="214">
        <f t="shared" si="17"/>
        <v>607931286</v>
      </c>
      <c r="J44" s="213">
        <f t="shared" si="18"/>
        <v>12</v>
      </c>
      <c r="K44" s="213">
        <f t="shared" si="19"/>
        <v>4</v>
      </c>
      <c r="M44" s="210">
        <f t="shared" si="20"/>
        <v>120</v>
      </c>
      <c r="N44" s="210">
        <f t="shared" si="21"/>
        <v>120</v>
      </c>
      <c r="O44" s="210">
        <f t="shared" si="22"/>
        <v>7200</v>
      </c>
      <c r="P44" s="210">
        <f t="shared" si="23"/>
        <v>300</v>
      </c>
      <c r="Q44" s="210" t="str">
        <f t="shared" si="24"/>
        <v/>
      </c>
      <c r="R44" s="210" t="str">
        <f t="shared" si="25"/>
        <v/>
      </c>
      <c r="S44" s="210" t="str">
        <f t="shared" si="26"/>
        <v/>
      </c>
      <c r="U44" s="482">
        <f t="shared" si="27"/>
        <v>0</v>
      </c>
      <c r="V44" s="482">
        <f t="shared" si="28"/>
        <v>0</v>
      </c>
      <c r="W44" s="482">
        <f t="shared" si="29"/>
        <v>1.7066666666666668</v>
      </c>
      <c r="X44" s="482">
        <f t="shared" si="30"/>
        <v>16.566666666666666</v>
      </c>
      <c r="Y44" s="482">
        <f t="shared" si="31"/>
        <v>11.083333333333334</v>
      </c>
      <c r="Z44" s="482">
        <f t="shared" si="32"/>
        <v>11.083333333333334</v>
      </c>
      <c r="AA44" s="482">
        <f t="shared" si="33"/>
        <v>2.7650000000000001</v>
      </c>
      <c r="AB44" s="243"/>
      <c r="AC44" s="482">
        <f t="shared" si="34"/>
        <v>16.566666666666666</v>
      </c>
      <c r="AD44" s="482">
        <f t="shared" si="35"/>
        <v>2.7650000000000001</v>
      </c>
      <c r="AE44" s="482">
        <f t="shared" si="36"/>
        <v>19.331666666666667</v>
      </c>
      <c r="AF44" s="482">
        <f t="shared" si="37"/>
        <v>11.083333333333334</v>
      </c>
      <c r="AG44" s="482">
        <f t="shared" si="38"/>
        <v>27.65</v>
      </c>
      <c r="AH44" s="482">
        <f t="shared" si="39"/>
        <v>13.848333333333334</v>
      </c>
      <c r="AI44" s="482">
        <f t="shared" si="40"/>
        <v>30.414999999999999</v>
      </c>
      <c r="AJ44" s="482">
        <f t="shared" si="41"/>
        <v>0</v>
      </c>
      <c r="AK44" s="482">
        <f t="shared" si="42"/>
        <v>16.566666666666666</v>
      </c>
      <c r="AL44" s="482">
        <f t="shared" si="43"/>
        <v>2.7650000000000001</v>
      </c>
      <c r="AM44" s="482">
        <f t="shared" si="44"/>
        <v>19.331666666666667</v>
      </c>
      <c r="AN44" s="482">
        <f t="shared" si="45"/>
        <v>11.083333333333334</v>
      </c>
      <c r="AO44" s="482">
        <f t="shared" si="46"/>
        <v>27.65</v>
      </c>
      <c r="AP44" s="482">
        <f t="shared" si="47"/>
        <v>13.848333333333334</v>
      </c>
      <c r="AQ44" s="482">
        <f t="shared" si="48"/>
        <v>30.414999999999999</v>
      </c>
      <c r="AR44" s="482">
        <f t="shared" si="49"/>
        <v>1.7066666666666668</v>
      </c>
      <c r="AS44" s="482">
        <f t="shared" si="50"/>
        <v>18.273333333333333</v>
      </c>
      <c r="AT44" s="482">
        <f t="shared" si="51"/>
        <v>4.4716666666666667</v>
      </c>
      <c r="AU44" s="482">
        <f t="shared" si="52"/>
        <v>21.038333333333334</v>
      </c>
      <c r="AV44" s="482">
        <f t="shared" si="53"/>
        <v>12.790000000000001</v>
      </c>
      <c r="AW44" s="482">
        <f t="shared" si="54"/>
        <v>29.356666666666669</v>
      </c>
      <c r="AX44" s="482">
        <f t="shared" si="55"/>
        <v>15.555000000000001</v>
      </c>
      <c r="AY44" s="482">
        <f t="shared" si="56"/>
        <v>32.12166666666667</v>
      </c>
      <c r="AZ44" s="482">
        <f t="shared" si="57"/>
        <v>1.7066666666666668</v>
      </c>
      <c r="BA44" s="482">
        <f t="shared" si="58"/>
        <v>18.273333333333333</v>
      </c>
      <c r="BB44" s="482">
        <f t="shared" si="59"/>
        <v>4.4716666666666667</v>
      </c>
      <c r="BC44" s="482">
        <f t="shared" si="60"/>
        <v>21.038333333333334</v>
      </c>
      <c r="BD44" s="482">
        <f t="shared" si="61"/>
        <v>12.790000000000001</v>
      </c>
      <c r="BE44" s="482">
        <f t="shared" si="62"/>
        <v>29.356666666666669</v>
      </c>
      <c r="BF44" s="482">
        <f t="shared" si="63"/>
        <v>15.555000000000001</v>
      </c>
      <c r="BG44" s="482">
        <f t="shared" si="64"/>
        <v>32.12166666666667</v>
      </c>
    </row>
    <row r="45" spans="1:59">
      <c r="A45" s="213" t="s">
        <v>5317</v>
      </c>
      <c r="B45" s="231">
        <v>606265075</v>
      </c>
      <c r="C45" s="210" t="s">
        <v>5284</v>
      </c>
      <c r="D45" s="210">
        <v>1800</v>
      </c>
      <c r="F45" s="239" t="str" cm="1">
        <f t="array" aca="1" ref="F45" ca="1">MID(met2utc(PEPSSI_Commanding[[#This Row],[MET]]),3,15)</f>
        <v>25-096/17:05:59</v>
      </c>
      <c r="G45" s="213" t="str">
        <f t="shared" si="15"/>
        <v>STAT+1800</v>
      </c>
      <c r="H45" s="214">
        <f t="shared" si="16"/>
        <v>606265066</v>
      </c>
      <c r="I45" s="214">
        <f t="shared" si="17"/>
        <v>607931286</v>
      </c>
      <c r="J45" s="213">
        <f t="shared" si="18"/>
        <v>13</v>
      </c>
      <c r="K45" s="213">
        <f t="shared" si="19"/>
        <v>3</v>
      </c>
      <c r="M45" s="210">
        <f t="shared" si="20"/>
        <v>120</v>
      </c>
      <c r="N45" s="210">
        <f t="shared" si="21"/>
        <v>120</v>
      </c>
      <c r="O45" s="210">
        <f t="shared" si="22"/>
        <v>7200</v>
      </c>
      <c r="P45" s="210">
        <f t="shared" si="23"/>
        <v>1800</v>
      </c>
      <c r="Q45" s="210" t="str">
        <f t="shared" si="24"/>
        <v/>
      </c>
      <c r="R45" s="210" t="str">
        <f t="shared" si="25"/>
        <v/>
      </c>
      <c r="S45" s="210" t="str">
        <f t="shared" si="26"/>
        <v/>
      </c>
      <c r="U45" s="482">
        <f t="shared" si="27"/>
        <v>0</v>
      </c>
      <c r="V45" s="482">
        <f t="shared" si="28"/>
        <v>0</v>
      </c>
      <c r="W45" s="482">
        <f t="shared" si="29"/>
        <v>0.28444444444444444</v>
      </c>
      <c r="X45" s="482">
        <f t="shared" si="30"/>
        <v>16.566666666666666</v>
      </c>
      <c r="Y45" s="482">
        <f t="shared" si="31"/>
        <v>11.083333333333334</v>
      </c>
      <c r="Z45" s="482">
        <f t="shared" si="32"/>
        <v>11.083333333333334</v>
      </c>
      <c r="AA45" s="482">
        <f t="shared" si="33"/>
        <v>2.7650000000000001</v>
      </c>
      <c r="AB45" s="243"/>
      <c r="AC45" s="482">
        <f t="shared" si="34"/>
        <v>16.566666666666666</v>
      </c>
      <c r="AD45" s="482">
        <f t="shared" si="35"/>
        <v>2.7650000000000001</v>
      </c>
      <c r="AE45" s="482">
        <f t="shared" si="36"/>
        <v>19.331666666666667</v>
      </c>
      <c r="AF45" s="482">
        <f t="shared" si="37"/>
        <v>11.083333333333334</v>
      </c>
      <c r="AG45" s="482">
        <f t="shared" si="38"/>
        <v>27.65</v>
      </c>
      <c r="AH45" s="482">
        <f t="shared" si="39"/>
        <v>13.848333333333334</v>
      </c>
      <c r="AI45" s="482">
        <f t="shared" si="40"/>
        <v>30.414999999999999</v>
      </c>
      <c r="AJ45" s="482">
        <f t="shared" si="41"/>
        <v>0</v>
      </c>
      <c r="AK45" s="482">
        <f t="shared" si="42"/>
        <v>16.566666666666666</v>
      </c>
      <c r="AL45" s="482">
        <f t="shared" si="43"/>
        <v>2.7650000000000001</v>
      </c>
      <c r="AM45" s="482">
        <f t="shared" si="44"/>
        <v>19.331666666666667</v>
      </c>
      <c r="AN45" s="482">
        <f t="shared" si="45"/>
        <v>11.083333333333334</v>
      </c>
      <c r="AO45" s="482">
        <f t="shared" si="46"/>
        <v>27.65</v>
      </c>
      <c r="AP45" s="482">
        <f t="shared" si="47"/>
        <v>13.848333333333334</v>
      </c>
      <c r="AQ45" s="482">
        <f t="shared" si="48"/>
        <v>30.414999999999999</v>
      </c>
      <c r="AR45" s="482">
        <f t="shared" si="49"/>
        <v>0.28444444444444444</v>
      </c>
      <c r="AS45" s="482">
        <f t="shared" si="50"/>
        <v>16.851111111111109</v>
      </c>
      <c r="AT45" s="482">
        <f t="shared" si="51"/>
        <v>3.0494444444444446</v>
      </c>
      <c r="AU45" s="482">
        <f t="shared" si="52"/>
        <v>19.61611111111111</v>
      </c>
      <c r="AV45" s="482">
        <f t="shared" si="53"/>
        <v>11.367777777777778</v>
      </c>
      <c r="AW45" s="482">
        <f t="shared" si="54"/>
        <v>27.934444444444445</v>
      </c>
      <c r="AX45" s="482">
        <f t="shared" si="55"/>
        <v>14.132777777777779</v>
      </c>
      <c r="AY45" s="482">
        <f t="shared" si="56"/>
        <v>30.699444444444445</v>
      </c>
      <c r="AZ45" s="482">
        <f t="shared" si="57"/>
        <v>0.28444444444444444</v>
      </c>
      <c r="BA45" s="482">
        <f t="shared" si="58"/>
        <v>16.851111111111109</v>
      </c>
      <c r="BB45" s="482">
        <f t="shared" si="59"/>
        <v>3.0494444444444446</v>
      </c>
      <c r="BC45" s="482">
        <f t="shared" si="60"/>
        <v>19.61611111111111</v>
      </c>
      <c r="BD45" s="482">
        <f t="shared" si="61"/>
        <v>11.367777777777778</v>
      </c>
      <c r="BE45" s="482">
        <f t="shared" si="62"/>
        <v>27.934444444444445</v>
      </c>
      <c r="BF45" s="482">
        <f t="shared" si="63"/>
        <v>14.132777777777779</v>
      </c>
      <c r="BG45" s="482">
        <f t="shared" si="64"/>
        <v>30.699444444444445</v>
      </c>
    </row>
    <row r="46" spans="1:59">
      <c r="A46" s="213" t="s">
        <v>5315</v>
      </c>
      <c r="B46" s="231">
        <v>606265676</v>
      </c>
      <c r="C46" s="210" t="s">
        <v>5285</v>
      </c>
      <c r="D46" s="210">
        <v>101</v>
      </c>
      <c r="F46" s="239" t="str" cm="1">
        <f t="array" aca="1" ref="F46" ca="1">MID(met2utc(PEPSSI_Commanding[[#This Row],[MET]]),3,15)</f>
        <v>25-096/17:16:00</v>
      </c>
      <c r="G46" s="213" t="str">
        <f t="shared" ref="G46:G77" si="65">_xlfn.TEXTJOIN("+",TRUE,$C46:$D46)</f>
        <v>MAC+101</v>
      </c>
      <c r="H46" s="214">
        <f t="shared" ref="H46:H77" si="66">IF($C46="ON",$B46,IF(RIGHT($H45,9)="MET Start","",IF(AND($K46&lt;&gt;0,$K45=1),$B46,$H45)))</f>
        <v>606265066</v>
      </c>
      <c r="I46" s="214">
        <f t="shared" ref="I46:I77" si="67">IF($C46="OFF",$B46,IF($B47="",$B46+31500000,IF($K46=1,$B47,I47)))</f>
        <v>607931286</v>
      </c>
      <c r="J46" s="213">
        <f t="shared" ref="J46:J77" si="68">IF($G46="ON",0,IF(OR(J45="",LEFT(J45,6)="Offset"),"",J45+1))</f>
        <v>14</v>
      </c>
      <c r="K46" s="213">
        <f t="shared" ref="K46:K77" si="69">IF($G46="OFF",0,IF(AND($J47&lt;&gt;0,$J46&lt;&gt;9,$G47&lt;&gt;"MAC+111",($B47-$B46)&lt;7200),K47+1,1))</f>
        <v>2</v>
      </c>
      <c r="M46" s="210">
        <f t="shared" ref="M46:M77" si="70">IF($C46="ON","",IF($C46="N1",$D46,IF(M45="N1","",M45)))</f>
        <v>120</v>
      </c>
      <c r="N46" s="210">
        <f t="shared" ref="N46:N77" si="71">IF($C46="ON","",IF($C46="N2",$D46,IF($G46="MAC+103",3,IF($G46="MAC+104",2,IF(N45="N2","",N45)))))</f>
        <v>120</v>
      </c>
      <c r="O46" s="210">
        <f t="shared" ref="O46:O77" si="72">IF($C46="ON","",IF($C46="N3",$D46,IF(O45="N3","",O45)))</f>
        <v>7200</v>
      </c>
      <c r="P46" s="210">
        <f t="shared" ref="P46:P77" si="73">IF($C46="ON","",IF($C46="STAT",$D46,IF(P45="STAT","",P45)))</f>
        <v>1800</v>
      </c>
      <c r="Q46" s="210" t="str">
        <f t="shared" ref="Q46:Q77" si="74">IF(OR($C46="ON",$G46="MAC+101",AND($C46="MAC",105&lt;=$D46,$D46&lt;=110)),"",IF(OR($G46="MAC+103",$G46="MAC+104",$G46="MAC+111"),"disabled",IF(Q45="N2 disabled","",Q45)))</f>
        <v/>
      </c>
      <c r="R46" s="210">
        <f t="shared" ref="R46:R77" si="75">IF(OR($G46="ON",$G46="MAC+111"),"",IF($G46="MAC+105",300,IF(OR($G46="MAC+106",$G46="MAC+101"),600,IF($G46="MAC+107",840,IF($G46="MAC+108",1200,IF($G46="MAC+109",1800,IF($G46="MAC+110",43200,IF(LEFT(R45,4)="105-","",R45))))))))</f>
        <v>600</v>
      </c>
      <c r="S46" s="210" t="str">
        <f t="shared" ref="S46:S77" si="76">IF($C46="ON","",IF($G46="MAC+102","102",IF(RIGHT(S45,1)="?","",S45)))</f>
        <v/>
      </c>
      <c r="U46" s="482">
        <f t="shared" ref="U46:U77" si="77">IF(OR($N46="",$R46=""),0,U$1/64/$N46)</f>
        <v>7.3437500000000003E-2</v>
      </c>
      <c r="V46" s="482">
        <f t="shared" ref="V46:V77" si="78">IF(OR($N46="",$R46=""),0,V$1/64/$N46)</f>
        <v>0.3046875</v>
      </c>
      <c r="W46" s="482">
        <f t="shared" ref="W46:W77" si="79">IF($P46="",0,W$1/$P46)</f>
        <v>0.28444444444444444</v>
      </c>
      <c r="X46" s="482">
        <f t="shared" ref="X46:X77" si="80">IF($M46="",0,X$1/$M46)</f>
        <v>16.566666666666666</v>
      </c>
      <c r="Y46" s="482">
        <f t="shared" ref="Y46:Y77" si="81">IF(OR($N46="",$Q46&lt;&gt;""),0,Y$1/$N46)</f>
        <v>11.083333333333334</v>
      </c>
      <c r="Z46" s="482">
        <f t="shared" ref="Z46:Z77" si="82">IF($N46="",0,IF($R46="",1,R46/43200)*Y46)</f>
        <v>0.15393518518518517</v>
      </c>
      <c r="AA46" s="482">
        <f t="shared" ref="AA46:AA77" si="83">IF($O46="",0,AA$1/$O46)</f>
        <v>2.7650000000000001</v>
      </c>
      <c r="AB46" s="243"/>
      <c r="AC46" s="482">
        <f t="shared" ref="AC46:AC77" si="84">IF(AC$3&lt;&gt;"",$W46,0)+IF(AC$4&lt;&gt;"",$U46,0)+IF(AC$5&lt;&gt;"",$Z46+IF($S46&lt;&gt;"102",$V46,0),0)+IF(AC$6&lt;&gt;"",$AA46+IF($S46="102",$V46,0),0)+IF(AC$7&lt;&gt;"",$X46,0)</f>
        <v>16.566666666666666</v>
      </c>
      <c r="AD46" s="482">
        <f t="shared" ref="AD46:AD77" si="85">IF(AD$3&lt;&gt;"",$W46,0)+IF(AD$4&lt;&gt;"",$U46,0)+IF(AD$5&lt;&gt;"",$Z46+IF($S46&lt;&gt;"102",$V46,0),0)+IF(AD$6&lt;&gt;"",$AA46+IF($S46="102",$V46,0),0)+IF(AD$7&lt;&gt;"",$X46,0)</f>
        <v>2.7650000000000001</v>
      </c>
      <c r="AE46" s="482">
        <f t="shared" ref="AE46:AE77" si="86">IF(AE$3&lt;&gt;"",$W46,0)+IF(AE$4&lt;&gt;"",$U46,0)+IF(AE$5&lt;&gt;"",$Z46+IF($S46&lt;&gt;"102",$V46,0),0)+IF(AE$6&lt;&gt;"",$AA46+IF($S46="102",$V46,0),0)+IF(AE$7&lt;&gt;"",$X46,0)</f>
        <v>19.331666666666667</v>
      </c>
      <c r="AF46" s="482">
        <f t="shared" ref="AF46:AF77" si="87">IF(AF$3&lt;&gt;"",$W46,0)+IF(AF$4&lt;&gt;"",$U46,0)+IF(AF$5&lt;&gt;"",$Z46+IF($S46&lt;&gt;"102",$V46,0),0)+IF(AF$6&lt;&gt;"",$AA46+IF($S46="102",$V46,0),0)+IF(AF$7&lt;&gt;"",$X46,0)</f>
        <v>0.45862268518518517</v>
      </c>
      <c r="AG46" s="482">
        <f t="shared" ref="AG46:AG77" si="88">IF(AG$3&lt;&gt;"",$W46,0)+IF(AG$4&lt;&gt;"",$U46,0)+IF(AG$5&lt;&gt;"",$Z46+IF($S46&lt;&gt;"102",$V46,0),0)+IF(AG$6&lt;&gt;"",$AA46+IF($S46="102",$V46,0),0)+IF(AG$7&lt;&gt;"",$X46,0)</f>
        <v>17.025289351851853</v>
      </c>
      <c r="AH46" s="482">
        <f t="shared" ref="AH46:AH77" si="89">IF(AH$3&lt;&gt;"",$W46,0)+IF(AH$4&lt;&gt;"",$U46,0)+IF(AH$5&lt;&gt;"",$Z46+IF($S46&lt;&gt;"102",$V46,0),0)+IF(AH$6&lt;&gt;"",$AA46+IF($S46="102",$V46,0),0)+IF(AH$7&lt;&gt;"",$X46,0)</f>
        <v>3.2236226851851852</v>
      </c>
      <c r="AI46" s="482">
        <f t="shared" ref="AI46:AI77" si="90">IF(AI$3&lt;&gt;"",$W46,0)+IF(AI$4&lt;&gt;"",$U46,0)+IF(AI$5&lt;&gt;"",$Z46+IF($S46&lt;&gt;"102",$V46,0),0)+IF(AI$6&lt;&gt;"",$AA46+IF($S46="102",$V46,0),0)+IF(AI$7&lt;&gt;"",$X46,0)</f>
        <v>19.79028935185185</v>
      </c>
      <c r="AJ46" s="482">
        <f t="shared" ref="AJ46:AJ77" si="91">IF(AJ$3&lt;&gt;"",$W46,0)+IF(AJ$4&lt;&gt;"",$U46,0)+IF(AJ$5&lt;&gt;"",$Z46+IF($S46&lt;&gt;"102",$V46,0),0)+IF(AJ$6&lt;&gt;"",$AA46+IF($S46="102",$V46,0),0)+IF(AJ$7&lt;&gt;"",$X46,0)</f>
        <v>7.3437500000000003E-2</v>
      </c>
      <c r="AK46" s="482">
        <f t="shared" ref="AK46:AK77" si="92">IF(AK$3&lt;&gt;"",$W46,0)+IF(AK$4&lt;&gt;"",$U46,0)+IF(AK$5&lt;&gt;"",$Z46+IF($S46&lt;&gt;"102",$V46,0),0)+IF(AK$6&lt;&gt;"",$AA46+IF($S46="102",$V46,0),0)+IF(AK$7&lt;&gt;"",$X46,0)</f>
        <v>16.640104166666667</v>
      </c>
      <c r="AL46" s="482">
        <f t="shared" ref="AL46:AL77" si="93">IF(AL$3&lt;&gt;"",$W46,0)+IF(AL$4&lt;&gt;"",$U46,0)+IF(AL$5&lt;&gt;"",$Z46+IF($S46&lt;&gt;"102",$V46,0),0)+IF(AL$6&lt;&gt;"",$AA46+IF($S46="102",$V46,0),0)+IF(AL$7&lt;&gt;"",$X46,0)</f>
        <v>2.8384374999999999</v>
      </c>
      <c r="AM46" s="482">
        <f t="shared" ref="AM46:AM77" si="94">IF(AM$3&lt;&gt;"",$W46,0)+IF(AM$4&lt;&gt;"",$U46,0)+IF(AM$5&lt;&gt;"",$Z46+IF($S46&lt;&gt;"102",$V46,0),0)+IF(AM$6&lt;&gt;"",$AA46+IF($S46="102",$V46,0),0)+IF(AM$7&lt;&gt;"",$X46,0)</f>
        <v>19.405104166666668</v>
      </c>
      <c r="AN46" s="482">
        <f t="shared" ref="AN46:AN77" si="95">IF(AN$3&lt;&gt;"",$W46,0)+IF(AN$4&lt;&gt;"",$U46,0)+IF(AN$5&lt;&gt;"",$Z46+IF($S46&lt;&gt;"102",$V46,0),0)+IF(AN$6&lt;&gt;"",$AA46+IF($S46="102",$V46,0),0)+IF(AN$7&lt;&gt;"",$X46,0)</f>
        <v>0.53206018518518516</v>
      </c>
      <c r="AO46" s="482">
        <f t="shared" ref="AO46:AO77" si="96">IF(AO$3&lt;&gt;"",$W46,0)+IF(AO$4&lt;&gt;"",$U46,0)+IF(AO$5&lt;&gt;"",$Z46+IF($S46&lt;&gt;"102",$V46,0),0)+IF(AO$6&lt;&gt;"",$AA46+IF($S46="102",$V46,0),0)+IF(AO$7&lt;&gt;"",$X46,0)</f>
        <v>17.09872685185185</v>
      </c>
      <c r="AP46" s="482">
        <f t="shared" ref="AP46:AP77" si="97">IF(AP$3&lt;&gt;"",$W46,0)+IF(AP$4&lt;&gt;"",$U46,0)+IF(AP$5&lt;&gt;"",$Z46+IF($S46&lt;&gt;"102",$V46,0),0)+IF(AP$6&lt;&gt;"",$AA46+IF($S46="102",$V46,0),0)+IF(AP$7&lt;&gt;"",$X46,0)</f>
        <v>3.2970601851851855</v>
      </c>
      <c r="AQ46" s="482">
        <f t="shared" ref="AQ46:AQ77" si="98">IF(AQ$3&lt;&gt;"",$W46,0)+IF(AQ$4&lt;&gt;"",$U46,0)+IF(AQ$5&lt;&gt;"",$Z46+IF($S46&lt;&gt;"102",$V46,0),0)+IF(AQ$6&lt;&gt;"",$AA46+IF($S46="102",$V46,0),0)+IF(AQ$7&lt;&gt;"",$X46,0)</f>
        <v>19.863726851851851</v>
      </c>
      <c r="AR46" s="482">
        <f t="shared" ref="AR46:AR77" si="99">IF(AR$3&lt;&gt;"",$W46,0)+IF(AR$4&lt;&gt;"",$U46,0)+IF(AR$5&lt;&gt;"",$Z46+IF($S46&lt;&gt;"102",$V46,0),0)+IF(AR$6&lt;&gt;"",$AA46+IF($S46="102",$V46,0),0)+IF(AR$7&lt;&gt;"",$X46,0)</f>
        <v>0.28444444444444444</v>
      </c>
      <c r="AS46" s="482">
        <f t="shared" ref="AS46:AS77" si="100">IF(AS$3&lt;&gt;"",$W46,0)+IF(AS$4&lt;&gt;"",$U46,0)+IF(AS$5&lt;&gt;"",$Z46+IF($S46&lt;&gt;"102",$V46,0),0)+IF(AS$6&lt;&gt;"",$AA46+IF($S46="102",$V46,0),0)+IF(AS$7&lt;&gt;"",$X46,0)</f>
        <v>16.851111111111109</v>
      </c>
      <c r="AT46" s="482">
        <f t="shared" ref="AT46:AT77" si="101">IF(AT$3&lt;&gt;"",$W46,0)+IF(AT$4&lt;&gt;"",$U46,0)+IF(AT$5&lt;&gt;"",$Z46+IF($S46&lt;&gt;"102",$V46,0),0)+IF(AT$6&lt;&gt;"",$AA46+IF($S46="102",$V46,0),0)+IF(AT$7&lt;&gt;"",$X46,0)</f>
        <v>3.0494444444444446</v>
      </c>
      <c r="AU46" s="482">
        <f t="shared" ref="AU46:AU77" si="102">IF(AU$3&lt;&gt;"",$W46,0)+IF(AU$4&lt;&gt;"",$U46,0)+IF(AU$5&lt;&gt;"",$Z46+IF($S46&lt;&gt;"102",$V46,0),0)+IF(AU$6&lt;&gt;"",$AA46+IF($S46="102",$V46,0),0)+IF(AU$7&lt;&gt;"",$X46,0)</f>
        <v>19.61611111111111</v>
      </c>
      <c r="AV46" s="482">
        <f t="shared" ref="AV46:AV77" si="103">IF(AV$3&lt;&gt;"",$W46,0)+IF(AV$4&lt;&gt;"",$U46,0)+IF(AV$5&lt;&gt;"",$Z46+IF($S46&lt;&gt;"102",$V46,0),0)+IF(AV$6&lt;&gt;"",$AA46+IF($S46="102",$V46,0),0)+IF(AV$7&lt;&gt;"",$X46,0)</f>
        <v>0.74306712962962962</v>
      </c>
      <c r="AW46" s="482">
        <f t="shared" ref="AW46:AW77" si="104">IF(AW$3&lt;&gt;"",$W46,0)+IF(AW$4&lt;&gt;"",$U46,0)+IF(AW$5&lt;&gt;"",$Z46+IF($S46&lt;&gt;"102",$V46,0),0)+IF(AW$6&lt;&gt;"",$AA46+IF($S46="102",$V46,0),0)+IF(AW$7&lt;&gt;"",$X46,0)</f>
        <v>17.309733796296296</v>
      </c>
      <c r="AX46" s="482">
        <f t="shared" ref="AX46:AX77" si="105">IF(AX$3&lt;&gt;"",$W46,0)+IF(AX$4&lt;&gt;"",$U46,0)+IF(AX$5&lt;&gt;"",$Z46+IF($S46&lt;&gt;"102",$V46,0),0)+IF(AX$6&lt;&gt;"",$AA46+IF($S46="102",$V46,0),0)+IF(AX$7&lt;&gt;"",$X46,0)</f>
        <v>3.5080671296296297</v>
      </c>
      <c r="AY46" s="482">
        <f t="shared" ref="AY46:AY77" si="106">IF(AY$3&lt;&gt;"",$W46,0)+IF(AY$4&lt;&gt;"",$U46,0)+IF(AY$5&lt;&gt;"",$Z46+IF($S46&lt;&gt;"102",$V46,0),0)+IF(AY$6&lt;&gt;"",$AA46+IF($S46="102",$V46,0),0)+IF(AY$7&lt;&gt;"",$X46,0)</f>
        <v>20.074733796296297</v>
      </c>
      <c r="AZ46" s="482">
        <f t="shared" ref="AZ46:AZ77" si="107">IF(AZ$3&lt;&gt;"",$W46,0)+IF(AZ$4&lt;&gt;"",$U46,0)+IF(AZ$5&lt;&gt;"",$Z46+IF($S46&lt;&gt;"102",$V46,0),0)+IF(AZ$6&lt;&gt;"",$AA46+IF($S46="102",$V46,0),0)+IF(AZ$7&lt;&gt;"",$X46,0)</f>
        <v>0.35788194444444443</v>
      </c>
      <c r="BA46" s="482">
        <f t="shared" ref="BA46:BA77" si="108">IF(BA$3&lt;&gt;"",$W46,0)+IF(BA$4&lt;&gt;"",$U46,0)+IF(BA$5&lt;&gt;"",$Z46+IF($S46&lt;&gt;"102",$V46,0),0)+IF(BA$6&lt;&gt;"",$AA46+IF($S46="102",$V46,0),0)+IF(BA$7&lt;&gt;"",$X46,0)</f>
        <v>16.92454861111111</v>
      </c>
      <c r="BB46" s="482">
        <f t="shared" ref="BB46:BB77" si="109">IF(BB$3&lt;&gt;"",$W46,0)+IF(BB$4&lt;&gt;"",$U46,0)+IF(BB$5&lt;&gt;"",$Z46+IF($S46&lt;&gt;"102",$V46,0),0)+IF(BB$6&lt;&gt;"",$AA46+IF($S46="102",$V46,0),0)+IF(BB$7&lt;&gt;"",$X46,0)</f>
        <v>3.1228819444444444</v>
      </c>
      <c r="BC46" s="482">
        <f t="shared" ref="BC46:BC77" si="110">IF(BC$3&lt;&gt;"",$W46,0)+IF(BC$4&lt;&gt;"",$U46,0)+IF(BC$5&lt;&gt;"",$Z46+IF($S46&lt;&gt;"102",$V46,0),0)+IF(BC$6&lt;&gt;"",$AA46+IF($S46="102",$V46,0),0)+IF(BC$7&lt;&gt;"",$X46,0)</f>
        <v>19.68954861111111</v>
      </c>
      <c r="BD46" s="482">
        <f t="shared" ref="BD46:BD77" si="111">IF(BD$3&lt;&gt;"",$W46,0)+IF(BD$4&lt;&gt;"",$U46,0)+IF(BD$5&lt;&gt;"",$Z46+IF($S46&lt;&gt;"102",$V46,0),0)+IF(BD$6&lt;&gt;"",$AA46+IF($S46="102",$V46,0),0)+IF(BD$7&lt;&gt;"",$X46,0)</f>
        <v>0.81650462962962966</v>
      </c>
      <c r="BE46" s="482">
        <f t="shared" ref="BE46:BE77" si="112">IF(BE$3&lt;&gt;"",$W46,0)+IF(BE$4&lt;&gt;"",$U46,0)+IF(BE$5&lt;&gt;"",$Z46+IF($S46&lt;&gt;"102",$V46,0),0)+IF(BE$6&lt;&gt;"",$AA46+IF($S46="102",$V46,0),0)+IF(BE$7&lt;&gt;"",$X46,0)</f>
        <v>17.383171296296297</v>
      </c>
      <c r="BF46" s="482">
        <f t="shared" ref="BF46:BF77" si="113">IF(BF$3&lt;&gt;"",$W46,0)+IF(BF$4&lt;&gt;"",$U46,0)+IF(BF$5&lt;&gt;"",$Z46+IF($S46&lt;&gt;"102",$V46,0),0)+IF(BF$6&lt;&gt;"",$AA46+IF($S46="102",$V46,0),0)+IF(BF$7&lt;&gt;"",$X46,0)</f>
        <v>3.58150462962963</v>
      </c>
      <c r="BG46" s="482">
        <f t="shared" ref="BG46:BG77" si="114">IF(BG$3&lt;&gt;"",$W46,0)+IF(BG$4&lt;&gt;"",$U46,0)+IF(BG$5&lt;&gt;"",$Z46+IF($S46&lt;&gt;"102",$V46,0),0)+IF(BG$6&lt;&gt;"",$AA46+IF($S46="102",$V46,0),0)+IF(BG$7&lt;&gt;"",$X46,0)</f>
        <v>20.148171296296297</v>
      </c>
    </row>
    <row r="47" spans="1:59">
      <c r="A47" s="213" t="s">
        <v>5315</v>
      </c>
      <c r="B47" s="231">
        <v>606269276</v>
      </c>
      <c r="C47" s="210" t="s">
        <v>5285</v>
      </c>
      <c r="D47" s="210">
        <v>102</v>
      </c>
      <c r="F47" s="239" t="str" cm="1">
        <f t="array" aca="1" ref="F47" ca="1">MID(met2utc(PEPSSI_Commanding[[#This Row],[MET]]),3,15)</f>
        <v>25-096/18:16:00</v>
      </c>
      <c r="G47" s="213" t="str">
        <f t="shared" si="65"/>
        <v>MAC+102</v>
      </c>
      <c r="H47" s="214">
        <f t="shared" si="66"/>
        <v>606265066</v>
      </c>
      <c r="I47" s="214">
        <f t="shared" si="67"/>
        <v>607931286</v>
      </c>
      <c r="J47" s="213">
        <f t="shared" si="68"/>
        <v>15</v>
      </c>
      <c r="K47" s="213">
        <f t="shared" si="69"/>
        <v>1</v>
      </c>
      <c r="M47" s="210">
        <f t="shared" si="70"/>
        <v>120</v>
      </c>
      <c r="N47" s="210">
        <f t="shared" si="71"/>
        <v>120</v>
      </c>
      <c r="O47" s="210">
        <f t="shared" si="72"/>
        <v>7200</v>
      </c>
      <c r="P47" s="210">
        <f t="shared" si="73"/>
        <v>1800</v>
      </c>
      <c r="Q47" s="210" t="str">
        <f t="shared" si="74"/>
        <v/>
      </c>
      <c r="R47" s="210">
        <f t="shared" si="75"/>
        <v>600</v>
      </c>
      <c r="S47" s="210" t="str">
        <f t="shared" si="76"/>
        <v>102</v>
      </c>
      <c r="U47" s="482">
        <f t="shared" si="77"/>
        <v>7.3437500000000003E-2</v>
      </c>
      <c r="V47" s="482">
        <f t="shared" si="78"/>
        <v>0.3046875</v>
      </c>
      <c r="W47" s="482">
        <f t="shared" si="79"/>
        <v>0.28444444444444444</v>
      </c>
      <c r="X47" s="482">
        <f t="shared" si="80"/>
        <v>16.566666666666666</v>
      </c>
      <c r="Y47" s="482">
        <f t="shared" si="81"/>
        <v>11.083333333333334</v>
      </c>
      <c r="Z47" s="482">
        <f t="shared" si="82"/>
        <v>0.15393518518518517</v>
      </c>
      <c r="AA47" s="482">
        <f t="shared" si="83"/>
        <v>2.7650000000000001</v>
      </c>
      <c r="AB47" s="243"/>
      <c r="AC47" s="482">
        <f t="shared" si="84"/>
        <v>16.566666666666666</v>
      </c>
      <c r="AD47" s="482">
        <f t="shared" si="85"/>
        <v>3.0696875000000001</v>
      </c>
      <c r="AE47" s="482">
        <f t="shared" si="86"/>
        <v>19.636354166666667</v>
      </c>
      <c r="AF47" s="482">
        <f t="shared" si="87"/>
        <v>0.15393518518518517</v>
      </c>
      <c r="AG47" s="482">
        <f t="shared" si="88"/>
        <v>16.720601851851853</v>
      </c>
      <c r="AH47" s="482">
        <f t="shared" si="89"/>
        <v>3.2236226851851852</v>
      </c>
      <c r="AI47" s="482">
        <f t="shared" si="90"/>
        <v>19.79028935185185</v>
      </c>
      <c r="AJ47" s="482">
        <f t="shared" si="91"/>
        <v>7.3437500000000003E-2</v>
      </c>
      <c r="AK47" s="482">
        <f t="shared" si="92"/>
        <v>16.640104166666667</v>
      </c>
      <c r="AL47" s="482">
        <f t="shared" si="93"/>
        <v>3.1431249999999999</v>
      </c>
      <c r="AM47" s="482">
        <f t="shared" si="94"/>
        <v>19.709791666666668</v>
      </c>
      <c r="AN47" s="482">
        <f t="shared" si="95"/>
        <v>0.22737268518518516</v>
      </c>
      <c r="AO47" s="482">
        <f t="shared" si="96"/>
        <v>16.79403935185185</v>
      </c>
      <c r="AP47" s="482">
        <f t="shared" si="97"/>
        <v>3.2970601851851855</v>
      </c>
      <c r="AQ47" s="482">
        <f t="shared" si="98"/>
        <v>19.863726851851851</v>
      </c>
      <c r="AR47" s="482">
        <f t="shared" si="99"/>
        <v>0.28444444444444444</v>
      </c>
      <c r="AS47" s="482">
        <f t="shared" si="100"/>
        <v>16.851111111111109</v>
      </c>
      <c r="AT47" s="482">
        <f t="shared" si="101"/>
        <v>3.3541319444444446</v>
      </c>
      <c r="AU47" s="482">
        <f t="shared" si="102"/>
        <v>19.92079861111111</v>
      </c>
      <c r="AV47" s="482">
        <f t="shared" si="103"/>
        <v>0.43837962962962962</v>
      </c>
      <c r="AW47" s="482">
        <f t="shared" si="104"/>
        <v>17.005046296296296</v>
      </c>
      <c r="AX47" s="482">
        <f t="shared" si="105"/>
        <v>3.5080671296296297</v>
      </c>
      <c r="AY47" s="482">
        <f t="shared" si="106"/>
        <v>20.074733796296297</v>
      </c>
      <c r="AZ47" s="482">
        <f t="shared" si="107"/>
        <v>0.35788194444444443</v>
      </c>
      <c r="BA47" s="482">
        <f t="shared" si="108"/>
        <v>16.92454861111111</v>
      </c>
      <c r="BB47" s="482">
        <f t="shared" si="109"/>
        <v>3.4275694444444444</v>
      </c>
      <c r="BC47" s="482">
        <f t="shared" si="110"/>
        <v>19.99423611111111</v>
      </c>
      <c r="BD47" s="482">
        <f t="shared" si="111"/>
        <v>0.51181712962962966</v>
      </c>
      <c r="BE47" s="482">
        <f t="shared" si="112"/>
        <v>17.078483796296297</v>
      </c>
      <c r="BF47" s="482">
        <f t="shared" si="113"/>
        <v>3.58150462962963</v>
      </c>
      <c r="BG47" s="482">
        <f t="shared" si="114"/>
        <v>20.148171296296297</v>
      </c>
    </row>
    <row r="48" spans="1:59">
      <c r="A48" s="213" t="s">
        <v>5314</v>
      </c>
      <c r="B48" s="231">
        <v>607931286</v>
      </c>
      <c r="C48" s="210" t="s">
        <v>5318</v>
      </c>
      <c r="F48" s="239" t="str" cm="1">
        <f t="array" aca="1" ref="F48" ca="1">MID(met2utc(PEPSSI_Commanding[[#This Row],[MET]]),3,15)</f>
        <v>25-115/23:56:10</v>
      </c>
      <c r="G48" s="213" t="str">
        <f t="shared" si="65"/>
        <v>OFF</v>
      </c>
      <c r="H48" s="214">
        <f t="shared" si="66"/>
        <v>606265066</v>
      </c>
      <c r="I48" s="214">
        <f t="shared" si="67"/>
        <v>607931286</v>
      </c>
      <c r="J48" s="213">
        <f t="shared" si="68"/>
        <v>16</v>
      </c>
      <c r="K48" s="213">
        <f t="shared" si="69"/>
        <v>0</v>
      </c>
      <c r="M48" s="210">
        <f t="shared" si="70"/>
        <v>120</v>
      </c>
      <c r="N48" s="210">
        <f t="shared" si="71"/>
        <v>120</v>
      </c>
      <c r="O48" s="210">
        <f t="shared" si="72"/>
        <v>7200</v>
      </c>
      <c r="P48" s="210">
        <f t="shared" si="73"/>
        <v>1800</v>
      </c>
      <c r="Q48" s="210" t="str">
        <f t="shared" si="74"/>
        <v/>
      </c>
      <c r="R48" s="210">
        <f t="shared" si="75"/>
        <v>600</v>
      </c>
      <c r="S48" s="210" t="str">
        <f t="shared" si="76"/>
        <v>102</v>
      </c>
      <c r="U48" s="482">
        <f t="shared" si="77"/>
        <v>7.3437500000000003E-2</v>
      </c>
      <c r="V48" s="482">
        <f t="shared" si="78"/>
        <v>0.3046875</v>
      </c>
      <c r="W48" s="482">
        <f t="shared" si="79"/>
        <v>0.28444444444444444</v>
      </c>
      <c r="X48" s="482">
        <f t="shared" si="80"/>
        <v>16.566666666666666</v>
      </c>
      <c r="Y48" s="482">
        <f t="shared" si="81"/>
        <v>11.083333333333334</v>
      </c>
      <c r="Z48" s="482">
        <f t="shared" si="82"/>
        <v>0.15393518518518517</v>
      </c>
      <c r="AA48" s="482">
        <f t="shared" si="83"/>
        <v>2.7650000000000001</v>
      </c>
      <c r="AB48" s="243"/>
      <c r="AC48" s="482">
        <f t="shared" si="84"/>
        <v>16.566666666666666</v>
      </c>
      <c r="AD48" s="482">
        <f t="shared" si="85"/>
        <v>3.0696875000000001</v>
      </c>
      <c r="AE48" s="482">
        <f t="shared" si="86"/>
        <v>19.636354166666667</v>
      </c>
      <c r="AF48" s="482">
        <f t="shared" si="87"/>
        <v>0.15393518518518517</v>
      </c>
      <c r="AG48" s="482">
        <f t="shared" si="88"/>
        <v>16.720601851851853</v>
      </c>
      <c r="AH48" s="482">
        <f t="shared" si="89"/>
        <v>3.2236226851851852</v>
      </c>
      <c r="AI48" s="482">
        <f t="shared" si="90"/>
        <v>19.79028935185185</v>
      </c>
      <c r="AJ48" s="482">
        <f t="shared" si="91"/>
        <v>7.3437500000000003E-2</v>
      </c>
      <c r="AK48" s="482">
        <f t="shared" si="92"/>
        <v>16.640104166666667</v>
      </c>
      <c r="AL48" s="482">
        <f t="shared" si="93"/>
        <v>3.1431249999999999</v>
      </c>
      <c r="AM48" s="482">
        <f t="shared" si="94"/>
        <v>19.709791666666668</v>
      </c>
      <c r="AN48" s="482">
        <f t="shared" si="95"/>
        <v>0.22737268518518516</v>
      </c>
      <c r="AO48" s="482">
        <f t="shared" si="96"/>
        <v>16.79403935185185</v>
      </c>
      <c r="AP48" s="482">
        <f t="shared" si="97"/>
        <v>3.2970601851851855</v>
      </c>
      <c r="AQ48" s="482">
        <f t="shared" si="98"/>
        <v>19.863726851851851</v>
      </c>
      <c r="AR48" s="482">
        <f t="shared" si="99"/>
        <v>0.28444444444444444</v>
      </c>
      <c r="AS48" s="482">
        <f t="shared" si="100"/>
        <v>16.851111111111109</v>
      </c>
      <c r="AT48" s="482">
        <f t="shared" si="101"/>
        <v>3.3541319444444446</v>
      </c>
      <c r="AU48" s="482">
        <f t="shared" si="102"/>
        <v>19.92079861111111</v>
      </c>
      <c r="AV48" s="482">
        <f t="shared" si="103"/>
        <v>0.43837962962962962</v>
      </c>
      <c r="AW48" s="482">
        <f t="shared" si="104"/>
        <v>17.005046296296296</v>
      </c>
      <c r="AX48" s="482">
        <f t="shared" si="105"/>
        <v>3.5080671296296297</v>
      </c>
      <c r="AY48" s="482">
        <f t="shared" si="106"/>
        <v>20.074733796296297</v>
      </c>
      <c r="AZ48" s="482">
        <f t="shared" si="107"/>
        <v>0.35788194444444443</v>
      </c>
      <c r="BA48" s="482">
        <f t="shared" si="108"/>
        <v>16.92454861111111</v>
      </c>
      <c r="BB48" s="482">
        <f t="shared" si="109"/>
        <v>3.4275694444444444</v>
      </c>
      <c r="BC48" s="482">
        <f t="shared" si="110"/>
        <v>19.99423611111111</v>
      </c>
      <c r="BD48" s="482">
        <f t="shared" si="111"/>
        <v>0.51181712962962966</v>
      </c>
      <c r="BE48" s="482">
        <f t="shared" si="112"/>
        <v>17.078483796296297</v>
      </c>
      <c r="BF48" s="482">
        <f t="shared" si="113"/>
        <v>3.58150462962963</v>
      </c>
      <c r="BG48" s="482">
        <f t="shared" si="114"/>
        <v>20.148171296296297</v>
      </c>
    </row>
    <row r="49" spans="1:59">
      <c r="A49" s="213" t="s">
        <v>5314</v>
      </c>
      <c r="B49" s="231">
        <v>607961216</v>
      </c>
      <c r="C49" s="210" t="s">
        <v>433</v>
      </c>
      <c r="F49" s="239" t="str" cm="1">
        <f t="array" aca="1" ref="F49" ca="1">MID(met2utc(PEPSSI_Commanding[[#This Row],[MET]]),3,15)</f>
        <v>25-116/08:15:00</v>
      </c>
      <c r="G49" s="213" t="str">
        <f t="shared" si="65"/>
        <v>ON</v>
      </c>
      <c r="H49" s="214">
        <f t="shared" si="66"/>
        <v>607961216</v>
      </c>
      <c r="I49" s="214">
        <f t="shared" si="67"/>
        <v>607963066</v>
      </c>
      <c r="J49" s="213">
        <f t="shared" si="68"/>
        <v>0</v>
      </c>
      <c r="K49" s="213">
        <f t="shared" si="69"/>
        <v>10</v>
      </c>
      <c r="M49" s="210" t="str">
        <f t="shared" si="70"/>
        <v/>
      </c>
      <c r="N49" s="210" t="str">
        <f t="shared" si="71"/>
        <v/>
      </c>
      <c r="O49" s="210" t="str">
        <f t="shared" si="72"/>
        <v/>
      </c>
      <c r="P49" s="210" t="str">
        <f t="shared" si="73"/>
        <v/>
      </c>
      <c r="Q49" s="210" t="str">
        <f t="shared" si="74"/>
        <v/>
      </c>
      <c r="R49" s="210" t="str">
        <f t="shared" si="75"/>
        <v/>
      </c>
      <c r="S49" s="210" t="str">
        <f t="shared" si="76"/>
        <v/>
      </c>
      <c r="U49" s="482">
        <f t="shared" si="77"/>
        <v>0</v>
      </c>
      <c r="V49" s="482">
        <f t="shared" si="78"/>
        <v>0</v>
      </c>
      <c r="W49" s="482">
        <f t="shared" si="79"/>
        <v>0</v>
      </c>
      <c r="X49" s="482">
        <f t="shared" si="80"/>
        <v>0</v>
      </c>
      <c r="Y49" s="482">
        <f t="shared" si="81"/>
        <v>0</v>
      </c>
      <c r="Z49" s="482">
        <f t="shared" si="82"/>
        <v>0</v>
      </c>
      <c r="AA49" s="482">
        <f t="shared" si="83"/>
        <v>0</v>
      </c>
      <c r="AB49" s="243"/>
      <c r="AC49" s="482">
        <f t="shared" si="84"/>
        <v>0</v>
      </c>
      <c r="AD49" s="482">
        <f t="shared" si="85"/>
        <v>0</v>
      </c>
      <c r="AE49" s="482">
        <f t="shared" si="86"/>
        <v>0</v>
      </c>
      <c r="AF49" s="482">
        <f t="shared" si="87"/>
        <v>0</v>
      </c>
      <c r="AG49" s="482">
        <f t="shared" si="88"/>
        <v>0</v>
      </c>
      <c r="AH49" s="482">
        <f t="shared" si="89"/>
        <v>0</v>
      </c>
      <c r="AI49" s="482">
        <f t="shared" si="90"/>
        <v>0</v>
      </c>
      <c r="AJ49" s="482">
        <f t="shared" si="91"/>
        <v>0</v>
      </c>
      <c r="AK49" s="482">
        <f t="shared" si="92"/>
        <v>0</v>
      </c>
      <c r="AL49" s="482">
        <f t="shared" si="93"/>
        <v>0</v>
      </c>
      <c r="AM49" s="482">
        <f t="shared" si="94"/>
        <v>0</v>
      </c>
      <c r="AN49" s="482">
        <f t="shared" si="95"/>
        <v>0</v>
      </c>
      <c r="AO49" s="482">
        <f t="shared" si="96"/>
        <v>0</v>
      </c>
      <c r="AP49" s="482">
        <f t="shared" si="97"/>
        <v>0</v>
      </c>
      <c r="AQ49" s="482">
        <f t="shared" si="98"/>
        <v>0</v>
      </c>
      <c r="AR49" s="482">
        <f t="shared" si="99"/>
        <v>0</v>
      </c>
      <c r="AS49" s="482">
        <f t="shared" si="100"/>
        <v>0</v>
      </c>
      <c r="AT49" s="482">
        <f t="shared" si="101"/>
        <v>0</v>
      </c>
      <c r="AU49" s="482">
        <f t="shared" si="102"/>
        <v>0</v>
      </c>
      <c r="AV49" s="482">
        <f t="shared" si="103"/>
        <v>0</v>
      </c>
      <c r="AW49" s="482">
        <f t="shared" si="104"/>
        <v>0</v>
      </c>
      <c r="AX49" s="482">
        <f t="shared" si="105"/>
        <v>0</v>
      </c>
      <c r="AY49" s="482">
        <f t="shared" si="106"/>
        <v>0</v>
      </c>
      <c r="AZ49" s="482">
        <f t="shared" si="107"/>
        <v>0</v>
      </c>
      <c r="BA49" s="482">
        <f t="shared" si="108"/>
        <v>0</v>
      </c>
      <c r="BB49" s="482">
        <f t="shared" si="109"/>
        <v>0</v>
      </c>
      <c r="BC49" s="482">
        <f t="shared" si="110"/>
        <v>0</v>
      </c>
      <c r="BD49" s="482">
        <f t="shared" si="111"/>
        <v>0</v>
      </c>
      <c r="BE49" s="482">
        <f t="shared" si="112"/>
        <v>0</v>
      </c>
      <c r="BF49" s="482">
        <f t="shared" si="113"/>
        <v>0</v>
      </c>
      <c r="BG49" s="482">
        <f t="shared" si="114"/>
        <v>0</v>
      </c>
    </row>
    <row r="50" spans="1:59">
      <c r="A50" s="213" t="s">
        <v>5315</v>
      </c>
      <c r="B50" s="231">
        <v>607961261</v>
      </c>
      <c r="C50" s="210" t="s">
        <v>5285</v>
      </c>
      <c r="D50" s="210">
        <v>10</v>
      </c>
      <c r="F50" s="239" t="str" cm="1">
        <f t="array" aca="1" ref="F50" ca="1">MID(met2utc(PEPSSI_Commanding[[#This Row],[MET]]),3,15)</f>
        <v>25-116/08:15:45</v>
      </c>
      <c r="G50" s="213" t="str">
        <f t="shared" si="65"/>
        <v>MAC+10</v>
      </c>
      <c r="H50" s="214">
        <f t="shared" si="66"/>
        <v>607961216</v>
      </c>
      <c r="I50" s="214">
        <f t="shared" si="67"/>
        <v>607963066</v>
      </c>
      <c r="J50" s="213">
        <f t="shared" si="68"/>
        <v>1</v>
      </c>
      <c r="K50" s="213">
        <f t="shared" si="69"/>
        <v>9</v>
      </c>
      <c r="M50" s="210" t="str">
        <f t="shared" si="70"/>
        <v/>
      </c>
      <c r="N50" s="210" t="str">
        <f t="shared" si="71"/>
        <v/>
      </c>
      <c r="O50" s="210" t="str">
        <f t="shared" si="72"/>
        <v/>
      </c>
      <c r="P50" s="210" t="str">
        <f t="shared" si="73"/>
        <v/>
      </c>
      <c r="Q50" s="210" t="str">
        <f t="shared" si="74"/>
        <v/>
      </c>
      <c r="R50" s="210" t="str">
        <f t="shared" si="75"/>
        <v/>
      </c>
      <c r="S50" s="210" t="str">
        <f t="shared" si="76"/>
        <v/>
      </c>
      <c r="U50" s="482">
        <f t="shared" si="77"/>
        <v>0</v>
      </c>
      <c r="V50" s="482">
        <f t="shared" si="78"/>
        <v>0</v>
      </c>
      <c r="W50" s="482">
        <f t="shared" si="79"/>
        <v>0</v>
      </c>
      <c r="X50" s="482">
        <f t="shared" si="80"/>
        <v>0</v>
      </c>
      <c r="Y50" s="482">
        <f t="shared" si="81"/>
        <v>0</v>
      </c>
      <c r="Z50" s="482">
        <f t="shared" si="82"/>
        <v>0</v>
      </c>
      <c r="AA50" s="482">
        <f t="shared" si="83"/>
        <v>0</v>
      </c>
      <c r="AB50" s="243"/>
      <c r="AC50" s="482">
        <f t="shared" si="84"/>
        <v>0</v>
      </c>
      <c r="AD50" s="482">
        <f t="shared" si="85"/>
        <v>0</v>
      </c>
      <c r="AE50" s="482">
        <f t="shared" si="86"/>
        <v>0</v>
      </c>
      <c r="AF50" s="482">
        <f t="shared" si="87"/>
        <v>0</v>
      </c>
      <c r="AG50" s="482">
        <f t="shared" si="88"/>
        <v>0</v>
      </c>
      <c r="AH50" s="482">
        <f t="shared" si="89"/>
        <v>0</v>
      </c>
      <c r="AI50" s="482">
        <f t="shared" si="90"/>
        <v>0</v>
      </c>
      <c r="AJ50" s="482">
        <f t="shared" si="91"/>
        <v>0</v>
      </c>
      <c r="AK50" s="482">
        <f t="shared" si="92"/>
        <v>0</v>
      </c>
      <c r="AL50" s="482">
        <f t="shared" si="93"/>
        <v>0</v>
      </c>
      <c r="AM50" s="482">
        <f t="shared" si="94"/>
        <v>0</v>
      </c>
      <c r="AN50" s="482">
        <f t="shared" si="95"/>
        <v>0</v>
      </c>
      <c r="AO50" s="482">
        <f t="shared" si="96"/>
        <v>0</v>
      </c>
      <c r="AP50" s="482">
        <f t="shared" si="97"/>
        <v>0</v>
      </c>
      <c r="AQ50" s="482">
        <f t="shared" si="98"/>
        <v>0</v>
      </c>
      <c r="AR50" s="482">
        <f t="shared" si="99"/>
        <v>0</v>
      </c>
      <c r="AS50" s="482">
        <f t="shared" si="100"/>
        <v>0</v>
      </c>
      <c r="AT50" s="482">
        <f t="shared" si="101"/>
        <v>0</v>
      </c>
      <c r="AU50" s="482">
        <f t="shared" si="102"/>
        <v>0</v>
      </c>
      <c r="AV50" s="482">
        <f t="shared" si="103"/>
        <v>0</v>
      </c>
      <c r="AW50" s="482">
        <f t="shared" si="104"/>
        <v>0</v>
      </c>
      <c r="AX50" s="482">
        <f t="shared" si="105"/>
        <v>0</v>
      </c>
      <c r="AY50" s="482">
        <f t="shared" si="106"/>
        <v>0</v>
      </c>
      <c r="AZ50" s="482">
        <f t="shared" si="107"/>
        <v>0</v>
      </c>
      <c r="BA50" s="482">
        <f t="shared" si="108"/>
        <v>0</v>
      </c>
      <c r="BB50" s="482">
        <f t="shared" si="109"/>
        <v>0</v>
      </c>
      <c r="BC50" s="482">
        <f t="shared" si="110"/>
        <v>0</v>
      </c>
      <c r="BD50" s="482">
        <f t="shared" si="111"/>
        <v>0</v>
      </c>
      <c r="BE50" s="482">
        <f t="shared" si="112"/>
        <v>0</v>
      </c>
      <c r="BF50" s="482">
        <f t="shared" si="113"/>
        <v>0</v>
      </c>
      <c r="BG50" s="482">
        <f t="shared" si="114"/>
        <v>0</v>
      </c>
    </row>
    <row r="51" spans="1:59">
      <c r="A51" s="213" t="s">
        <v>5316</v>
      </c>
      <c r="B51" s="231">
        <v>607961261</v>
      </c>
      <c r="C51" s="210" t="s">
        <v>61</v>
      </c>
      <c r="D51" s="210">
        <v>10</v>
      </c>
      <c r="F51" s="239" t="str" cm="1">
        <f t="array" aca="1" ref="F51" ca="1">MID(met2utc(PEPSSI_Commanding[[#This Row],[MET]]),3,15)</f>
        <v>25-116/08:15:45</v>
      </c>
      <c r="G51" s="213" t="str">
        <f t="shared" si="65"/>
        <v>N2+10</v>
      </c>
      <c r="H51" s="214">
        <f t="shared" si="66"/>
        <v>607961216</v>
      </c>
      <c r="I51" s="214">
        <f t="shared" si="67"/>
        <v>607963066</v>
      </c>
      <c r="J51" s="213">
        <f t="shared" si="68"/>
        <v>2</v>
      </c>
      <c r="K51" s="213">
        <f t="shared" si="69"/>
        <v>8</v>
      </c>
      <c r="M51" s="210" t="str">
        <f t="shared" si="70"/>
        <v/>
      </c>
      <c r="N51" s="210">
        <f t="shared" si="71"/>
        <v>10</v>
      </c>
      <c r="O51" s="210" t="str">
        <f t="shared" si="72"/>
        <v/>
      </c>
      <c r="P51" s="210" t="str">
        <f t="shared" si="73"/>
        <v/>
      </c>
      <c r="Q51" s="210" t="str">
        <f t="shared" si="74"/>
        <v/>
      </c>
      <c r="R51" s="210" t="str">
        <f t="shared" si="75"/>
        <v/>
      </c>
      <c r="S51" s="210" t="str">
        <f t="shared" si="76"/>
        <v/>
      </c>
      <c r="U51" s="482">
        <f t="shared" si="77"/>
        <v>0</v>
      </c>
      <c r="V51" s="482">
        <f t="shared" si="78"/>
        <v>0</v>
      </c>
      <c r="W51" s="482">
        <f t="shared" si="79"/>
        <v>0</v>
      </c>
      <c r="X51" s="482">
        <f t="shared" si="80"/>
        <v>0</v>
      </c>
      <c r="Y51" s="482">
        <f t="shared" si="81"/>
        <v>133</v>
      </c>
      <c r="Z51" s="482">
        <f t="shared" si="82"/>
        <v>133</v>
      </c>
      <c r="AA51" s="482">
        <f t="shared" si="83"/>
        <v>0</v>
      </c>
      <c r="AB51" s="243"/>
      <c r="AC51" s="482">
        <f t="shared" si="84"/>
        <v>0</v>
      </c>
      <c r="AD51" s="482">
        <f t="shared" si="85"/>
        <v>0</v>
      </c>
      <c r="AE51" s="482">
        <f t="shared" si="86"/>
        <v>0</v>
      </c>
      <c r="AF51" s="482">
        <f t="shared" si="87"/>
        <v>133</v>
      </c>
      <c r="AG51" s="482">
        <f t="shared" si="88"/>
        <v>133</v>
      </c>
      <c r="AH51" s="482">
        <f t="shared" si="89"/>
        <v>133</v>
      </c>
      <c r="AI51" s="482">
        <f t="shared" si="90"/>
        <v>133</v>
      </c>
      <c r="AJ51" s="482">
        <f t="shared" si="91"/>
        <v>0</v>
      </c>
      <c r="AK51" s="482">
        <f t="shared" si="92"/>
        <v>0</v>
      </c>
      <c r="AL51" s="482">
        <f t="shared" si="93"/>
        <v>0</v>
      </c>
      <c r="AM51" s="482">
        <f t="shared" si="94"/>
        <v>0</v>
      </c>
      <c r="AN51" s="482">
        <f t="shared" si="95"/>
        <v>133</v>
      </c>
      <c r="AO51" s="482">
        <f t="shared" si="96"/>
        <v>133</v>
      </c>
      <c r="AP51" s="482">
        <f t="shared" si="97"/>
        <v>133</v>
      </c>
      <c r="AQ51" s="482">
        <f t="shared" si="98"/>
        <v>133</v>
      </c>
      <c r="AR51" s="482">
        <f t="shared" si="99"/>
        <v>0</v>
      </c>
      <c r="AS51" s="482">
        <f t="shared" si="100"/>
        <v>0</v>
      </c>
      <c r="AT51" s="482">
        <f t="shared" si="101"/>
        <v>0</v>
      </c>
      <c r="AU51" s="482">
        <f t="shared" si="102"/>
        <v>0</v>
      </c>
      <c r="AV51" s="482">
        <f t="shared" si="103"/>
        <v>133</v>
      </c>
      <c r="AW51" s="482">
        <f t="shared" si="104"/>
        <v>133</v>
      </c>
      <c r="AX51" s="482">
        <f t="shared" si="105"/>
        <v>133</v>
      </c>
      <c r="AY51" s="482">
        <f t="shared" si="106"/>
        <v>133</v>
      </c>
      <c r="AZ51" s="482">
        <f t="shared" si="107"/>
        <v>0</v>
      </c>
      <c r="BA51" s="482">
        <f t="shared" si="108"/>
        <v>0</v>
      </c>
      <c r="BB51" s="482">
        <f t="shared" si="109"/>
        <v>0</v>
      </c>
      <c r="BC51" s="482">
        <f t="shared" si="110"/>
        <v>0</v>
      </c>
      <c r="BD51" s="482">
        <f t="shared" si="111"/>
        <v>133</v>
      </c>
      <c r="BE51" s="482">
        <f t="shared" si="112"/>
        <v>133</v>
      </c>
      <c r="BF51" s="482">
        <f t="shared" si="113"/>
        <v>133</v>
      </c>
      <c r="BG51" s="482">
        <f t="shared" si="114"/>
        <v>133</v>
      </c>
    </row>
    <row r="52" spans="1:59">
      <c r="A52" s="213" t="s">
        <v>5316</v>
      </c>
      <c r="B52" s="231">
        <v>607961262</v>
      </c>
      <c r="C52" s="210" t="s">
        <v>58</v>
      </c>
      <c r="D52" s="210">
        <v>300</v>
      </c>
      <c r="F52" s="239" t="str" cm="1">
        <f t="array" aca="1" ref="F52" ca="1">MID(met2utc(PEPSSI_Commanding[[#This Row],[MET]]),3,15)</f>
        <v>25-116/08:15:46</v>
      </c>
      <c r="G52" s="213" t="str">
        <f t="shared" si="65"/>
        <v>N3+300</v>
      </c>
      <c r="H52" s="214">
        <f t="shared" si="66"/>
        <v>607961216</v>
      </c>
      <c r="I52" s="214">
        <f t="shared" si="67"/>
        <v>607963066</v>
      </c>
      <c r="J52" s="213">
        <f t="shared" si="68"/>
        <v>3</v>
      </c>
      <c r="K52" s="213">
        <f t="shared" si="69"/>
        <v>7</v>
      </c>
      <c r="M52" s="210" t="str">
        <f t="shared" si="70"/>
        <v/>
      </c>
      <c r="N52" s="210">
        <f t="shared" si="71"/>
        <v>10</v>
      </c>
      <c r="O52" s="210">
        <f t="shared" si="72"/>
        <v>300</v>
      </c>
      <c r="P52" s="210" t="str">
        <f t="shared" si="73"/>
        <v/>
      </c>
      <c r="Q52" s="210" t="str">
        <f t="shared" si="74"/>
        <v/>
      </c>
      <c r="R52" s="210" t="str">
        <f t="shared" si="75"/>
        <v/>
      </c>
      <c r="S52" s="210" t="str">
        <f t="shared" si="76"/>
        <v/>
      </c>
      <c r="U52" s="482">
        <f t="shared" si="77"/>
        <v>0</v>
      </c>
      <c r="V52" s="482">
        <f t="shared" si="78"/>
        <v>0</v>
      </c>
      <c r="W52" s="482">
        <f t="shared" si="79"/>
        <v>0</v>
      </c>
      <c r="X52" s="482">
        <f t="shared" si="80"/>
        <v>0</v>
      </c>
      <c r="Y52" s="482">
        <f t="shared" si="81"/>
        <v>133</v>
      </c>
      <c r="Z52" s="482">
        <f t="shared" si="82"/>
        <v>133</v>
      </c>
      <c r="AA52" s="482">
        <f t="shared" si="83"/>
        <v>66.36</v>
      </c>
      <c r="AB52" s="243"/>
      <c r="AC52" s="482">
        <f t="shared" si="84"/>
        <v>0</v>
      </c>
      <c r="AD52" s="482">
        <f t="shared" si="85"/>
        <v>66.36</v>
      </c>
      <c r="AE52" s="482">
        <f t="shared" si="86"/>
        <v>66.36</v>
      </c>
      <c r="AF52" s="482">
        <f t="shared" si="87"/>
        <v>133</v>
      </c>
      <c r="AG52" s="482">
        <f t="shared" si="88"/>
        <v>133</v>
      </c>
      <c r="AH52" s="482">
        <f t="shared" si="89"/>
        <v>199.36</v>
      </c>
      <c r="AI52" s="482">
        <f t="shared" si="90"/>
        <v>199.36</v>
      </c>
      <c r="AJ52" s="482">
        <f t="shared" si="91"/>
        <v>0</v>
      </c>
      <c r="AK52" s="482">
        <f t="shared" si="92"/>
        <v>0</v>
      </c>
      <c r="AL52" s="482">
        <f t="shared" si="93"/>
        <v>66.36</v>
      </c>
      <c r="AM52" s="482">
        <f t="shared" si="94"/>
        <v>66.36</v>
      </c>
      <c r="AN52" s="482">
        <f t="shared" si="95"/>
        <v>133</v>
      </c>
      <c r="AO52" s="482">
        <f t="shared" si="96"/>
        <v>133</v>
      </c>
      <c r="AP52" s="482">
        <f t="shared" si="97"/>
        <v>199.36</v>
      </c>
      <c r="AQ52" s="482">
        <f t="shared" si="98"/>
        <v>199.36</v>
      </c>
      <c r="AR52" s="482">
        <f t="shared" si="99"/>
        <v>0</v>
      </c>
      <c r="AS52" s="482">
        <f t="shared" si="100"/>
        <v>0</v>
      </c>
      <c r="AT52" s="482">
        <f t="shared" si="101"/>
        <v>66.36</v>
      </c>
      <c r="AU52" s="482">
        <f t="shared" si="102"/>
        <v>66.36</v>
      </c>
      <c r="AV52" s="482">
        <f t="shared" si="103"/>
        <v>133</v>
      </c>
      <c r="AW52" s="482">
        <f t="shared" si="104"/>
        <v>133</v>
      </c>
      <c r="AX52" s="482">
        <f t="shared" si="105"/>
        <v>199.36</v>
      </c>
      <c r="AY52" s="482">
        <f t="shared" si="106"/>
        <v>199.36</v>
      </c>
      <c r="AZ52" s="482">
        <f t="shared" si="107"/>
        <v>0</v>
      </c>
      <c r="BA52" s="482">
        <f t="shared" si="108"/>
        <v>0</v>
      </c>
      <c r="BB52" s="482">
        <f t="shared" si="109"/>
        <v>66.36</v>
      </c>
      <c r="BC52" s="482">
        <f t="shared" si="110"/>
        <v>66.36</v>
      </c>
      <c r="BD52" s="482">
        <f t="shared" si="111"/>
        <v>133</v>
      </c>
      <c r="BE52" s="482">
        <f t="shared" si="112"/>
        <v>133</v>
      </c>
      <c r="BF52" s="482">
        <f t="shared" si="113"/>
        <v>199.36</v>
      </c>
      <c r="BG52" s="482">
        <f t="shared" si="114"/>
        <v>199.36</v>
      </c>
    </row>
    <row r="53" spans="1:59">
      <c r="A53" s="213" t="s">
        <v>5316</v>
      </c>
      <c r="B53" s="231">
        <v>607961263</v>
      </c>
      <c r="C53" s="210" t="s">
        <v>1</v>
      </c>
      <c r="D53" s="210">
        <v>10</v>
      </c>
      <c r="F53" s="239" t="str" cm="1">
        <f t="array" aca="1" ref="F53" ca="1">MID(met2utc(PEPSSI_Commanding[[#This Row],[MET]]),3,15)</f>
        <v>25-116/08:15:47</v>
      </c>
      <c r="G53" s="213" t="str">
        <f t="shared" si="65"/>
        <v>N1+10</v>
      </c>
      <c r="H53" s="214">
        <f t="shared" si="66"/>
        <v>607961216</v>
      </c>
      <c r="I53" s="214">
        <f t="shared" si="67"/>
        <v>607963066</v>
      </c>
      <c r="J53" s="213">
        <f t="shared" si="68"/>
        <v>4</v>
      </c>
      <c r="K53" s="213">
        <f t="shared" si="69"/>
        <v>6</v>
      </c>
      <c r="M53" s="210">
        <f t="shared" si="70"/>
        <v>10</v>
      </c>
      <c r="N53" s="210">
        <f t="shared" si="71"/>
        <v>10</v>
      </c>
      <c r="O53" s="210">
        <f t="shared" si="72"/>
        <v>300</v>
      </c>
      <c r="P53" s="210" t="str">
        <f t="shared" si="73"/>
        <v/>
      </c>
      <c r="Q53" s="210" t="str">
        <f t="shared" si="74"/>
        <v/>
      </c>
      <c r="R53" s="210" t="str">
        <f t="shared" si="75"/>
        <v/>
      </c>
      <c r="S53" s="210" t="str">
        <f t="shared" si="76"/>
        <v/>
      </c>
      <c r="U53" s="482">
        <f t="shared" si="77"/>
        <v>0</v>
      </c>
      <c r="V53" s="482">
        <f t="shared" si="78"/>
        <v>0</v>
      </c>
      <c r="W53" s="482">
        <f t="shared" si="79"/>
        <v>0</v>
      </c>
      <c r="X53" s="482">
        <f t="shared" si="80"/>
        <v>198.8</v>
      </c>
      <c r="Y53" s="482">
        <f t="shared" si="81"/>
        <v>133</v>
      </c>
      <c r="Z53" s="482">
        <f t="shared" si="82"/>
        <v>133</v>
      </c>
      <c r="AA53" s="482">
        <f t="shared" si="83"/>
        <v>66.36</v>
      </c>
      <c r="AB53" s="243"/>
      <c r="AC53" s="482">
        <f t="shared" si="84"/>
        <v>198.8</v>
      </c>
      <c r="AD53" s="482">
        <f t="shared" si="85"/>
        <v>66.36</v>
      </c>
      <c r="AE53" s="482">
        <f t="shared" si="86"/>
        <v>265.16000000000003</v>
      </c>
      <c r="AF53" s="482">
        <f t="shared" si="87"/>
        <v>133</v>
      </c>
      <c r="AG53" s="482">
        <f t="shared" si="88"/>
        <v>331.8</v>
      </c>
      <c r="AH53" s="482">
        <f t="shared" si="89"/>
        <v>199.36</v>
      </c>
      <c r="AI53" s="482">
        <f t="shared" si="90"/>
        <v>398.16</v>
      </c>
      <c r="AJ53" s="482">
        <f t="shared" si="91"/>
        <v>0</v>
      </c>
      <c r="AK53" s="482">
        <f t="shared" si="92"/>
        <v>198.8</v>
      </c>
      <c r="AL53" s="482">
        <f t="shared" si="93"/>
        <v>66.36</v>
      </c>
      <c r="AM53" s="482">
        <f t="shared" si="94"/>
        <v>265.16000000000003</v>
      </c>
      <c r="AN53" s="482">
        <f t="shared" si="95"/>
        <v>133</v>
      </c>
      <c r="AO53" s="482">
        <f t="shared" si="96"/>
        <v>331.8</v>
      </c>
      <c r="AP53" s="482">
        <f t="shared" si="97"/>
        <v>199.36</v>
      </c>
      <c r="AQ53" s="482">
        <f t="shared" si="98"/>
        <v>398.16</v>
      </c>
      <c r="AR53" s="482">
        <f t="shared" si="99"/>
        <v>0</v>
      </c>
      <c r="AS53" s="482">
        <f t="shared" si="100"/>
        <v>198.8</v>
      </c>
      <c r="AT53" s="482">
        <f t="shared" si="101"/>
        <v>66.36</v>
      </c>
      <c r="AU53" s="482">
        <f t="shared" si="102"/>
        <v>265.16000000000003</v>
      </c>
      <c r="AV53" s="482">
        <f t="shared" si="103"/>
        <v>133</v>
      </c>
      <c r="AW53" s="482">
        <f t="shared" si="104"/>
        <v>331.8</v>
      </c>
      <c r="AX53" s="482">
        <f t="shared" si="105"/>
        <v>199.36</v>
      </c>
      <c r="AY53" s="482">
        <f t="shared" si="106"/>
        <v>398.16</v>
      </c>
      <c r="AZ53" s="482">
        <f t="shared" si="107"/>
        <v>0</v>
      </c>
      <c r="BA53" s="482">
        <f t="shared" si="108"/>
        <v>198.8</v>
      </c>
      <c r="BB53" s="482">
        <f t="shared" si="109"/>
        <v>66.36</v>
      </c>
      <c r="BC53" s="482">
        <f t="shared" si="110"/>
        <v>265.16000000000003</v>
      </c>
      <c r="BD53" s="482">
        <f t="shared" si="111"/>
        <v>133</v>
      </c>
      <c r="BE53" s="482">
        <f t="shared" si="112"/>
        <v>331.8</v>
      </c>
      <c r="BF53" s="482">
        <f t="shared" si="113"/>
        <v>199.36</v>
      </c>
      <c r="BG53" s="482">
        <f t="shared" si="114"/>
        <v>398.16</v>
      </c>
    </row>
    <row r="54" spans="1:59">
      <c r="A54" s="213" t="s">
        <v>5317</v>
      </c>
      <c r="B54" s="231">
        <v>607961264</v>
      </c>
      <c r="C54" s="210" t="s">
        <v>5284</v>
      </c>
      <c r="D54" s="210">
        <v>1</v>
      </c>
      <c r="F54" s="239" t="str" cm="1">
        <f t="array" aca="1" ref="F54" ca="1">MID(met2utc(PEPSSI_Commanding[[#This Row],[MET]]),3,15)</f>
        <v>25-116/08:15:48</v>
      </c>
      <c r="G54" s="213" t="str">
        <f t="shared" si="65"/>
        <v>STAT+1</v>
      </c>
      <c r="H54" s="214">
        <f t="shared" si="66"/>
        <v>607961216</v>
      </c>
      <c r="I54" s="214">
        <f t="shared" si="67"/>
        <v>607963066</v>
      </c>
      <c r="J54" s="213">
        <f t="shared" si="68"/>
        <v>5</v>
      </c>
      <c r="K54" s="213">
        <f t="shared" si="69"/>
        <v>5</v>
      </c>
      <c r="M54" s="210">
        <f t="shared" si="70"/>
        <v>10</v>
      </c>
      <c r="N54" s="210">
        <f t="shared" si="71"/>
        <v>10</v>
      </c>
      <c r="O54" s="210">
        <f t="shared" si="72"/>
        <v>300</v>
      </c>
      <c r="P54" s="210">
        <f t="shared" si="73"/>
        <v>1</v>
      </c>
      <c r="Q54" s="210" t="str">
        <f t="shared" si="74"/>
        <v/>
      </c>
      <c r="R54" s="210" t="str">
        <f t="shared" si="75"/>
        <v/>
      </c>
      <c r="S54" s="210" t="str">
        <f t="shared" si="76"/>
        <v/>
      </c>
      <c r="U54" s="482">
        <f t="shared" si="77"/>
        <v>0</v>
      </c>
      <c r="V54" s="482">
        <f t="shared" si="78"/>
        <v>0</v>
      </c>
      <c r="W54" s="482">
        <f t="shared" si="79"/>
        <v>512</v>
      </c>
      <c r="X54" s="482">
        <f t="shared" si="80"/>
        <v>198.8</v>
      </c>
      <c r="Y54" s="482">
        <f t="shared" si="81"/>
        <v>133</v>
      </c>
      <c r="Z54" s="482">
        <f t="shared" si="82"/>
        <v>133</v>
      </c>
      <c r="AA54" s="482">
        <f t="shared" si="83"/>
        <v>66.36</v>
      </c>
      <c r="AB54" s="243"/>
      <c r="AC54" s="482">
        <f t="shared" si="84"/>
        <v>198.8</v>
      </c>
      <c r="AD54" s="482">
        <f t="shared" si="85"/>
        <v>66.36</v>
      </c>
      <c r="AE54" s="482">
        <f t="shared" si="86"/>
        <v>265.16000000000003</v>
      </c>
      <c r="AF54" s="482">
        <f t="shared" si="87"/>
        <v>133</v>
      </c>
      <c r="AG54" s="482">
        <f t="shared" si="88"/>
        <v>331.8</v>
      </c>
      <c r="AH54" s="482">
        <f t="shared" si="89"/>
        <v>199.36</v>
      </c>
      <c r="AI54" s="482">
        <f t="shared" si="90"/>
        <v>398.16</v>
      </c>
      <c r="AJ54" s="482">
        <f t="shared" si="91"/>
        <v>0</v>
      </c>
      <c r="AK54" s="482">
        <f t="shared" si="92"/>
        <v>198.8</v>
      </c>
      <c r="AL54" s="482">
        <f t="shared" si="93"/>
        <v>66.36</v>
      </c>
      <c r="AM54" s="482">
        <f t="shared" si="94"/>
        <v>265.16000000000003</v>
      </c>
      <c r="AN54" s="482">
        <f t="shared" si="95"/>
        <v>133</v>
      </c>
      <c r="AO54" s="482">
        <f t="shared" si="96"/>
        <v>331.8</v>
      </c>
      <c r="AP54" s="482">
        <f t="shared" si="97"/>
        <v>199.36</v>
      </c>
      <c r="AQ54" s="482">
        <f t="shared" si="98"/>
        <v>398.16</v>
      </c>
      <c r="AR54" s="482">
        <f t="shared" si="99"/>
        <v>512</v>
      </c>
      <c r="AS54" s="482">
        <f t="shared" si="100"/>
        <v>710.8</v>
      </c>
      <c r="AT54" s="482">
        <f t="shared" si="101"/>
        <v>578.36</v>
      </c>
      <c r="AU54" s="482">
        <f t="shared" si="102"/>
        <v>777.16000000000008</v>
      </c>
      <c r="AV54" s="482">
        <f t="shared" si="103"/>
        <v>645</v>
      </c>
      <c r="AW54" s="482">
        <f t="shared" si="104"/>
        <v>843.8</v>
      </c>
      <c r="AX54" s="482">
        <f t="shared" si="105"/>
        <v>711.36</v>
      </c>
      <c r="AY54" s="482">
        <f t="shared" si="106"/>
        <v>910.16000000000008</v>
      </c>
      <c r="AZ54" s="482">
        <f t="shared" si="107"/>
        <v>512</v>
      </c>
      <c r="BA54" s="482">
        <f t="shared" si="108"/>
        <v>710.8</v>
      </c>
      <c r="BB54" s="482">
        <f t="shared" si="109"/>
        <v>578.36</v>
      </c>
      <c r="BC54" s="482">
        <f t="shared" si="110"/>
        <v>777.16000000000008</v>
      </c>
      <c r="BD54" s="482">
        <f t="shared" si="111"/>
        <v>645</v>
      </c>
      <c r="BE54" s="482">
        <f t="shared" si="112"/>
        <v>843.8</v>
      </c>
      <c r="BF54" s="482">
        <f t="shared" si="113"/>
        <v>711.36</v>
      </c>
      <c r="BG54" s="482">
        <f t="shared" si="114"/>
        <v>910.16000000000008</v>
      </c>
    </row>
    <row r="55" spans="1:59">
      <c r="A55" s="213" t="s">
        <v>5316</v>
      </c>
      <c r="B55" s="231">
        <v>607962747</v>
      </c>
      <c r="C55" s="210" t="s">
        <v>61</v>
      </c>
      <c r="D55" s="210">
        <v>40</v>
      </c>
      <c r="F55" s="239" t="str" cm="1">
        <f t="array" aca="1" ref="F55" ca="1">MID(met2utc(PEPSSI_Commanding[[#This Row],[MET]]),3,15)</f>
        <v>25-116/08:40:31</v>
      </c>
      <c r="G55" s="213" t="str">
        <f t="shared" si="65"/>
        <v>N2+40</v>
      </c>
      <c r="H55" s="214">
        <f t="shared" si="66"/>
        <v>607961216</v>
      </c>
      <c r="I55" s="214">
        <f t="shared" si="67"/>
        <v>607963066</v>
      </c>
      <c r="J55" s="213">
        <f t="shared" si="68"/>
        <v>6</v>
      </c>
      <c r="K55" s="213">
        <f t="shared" si="69"/>
        <v>4</v>
      </c>
      <c r="M55" s="210">
        <f t="shared" si="70"/>
        <v>10</v>
      </c>
      <c r="N55" s="210">
        <f t="shared" si="71"/>
        <v>40</v>
      </c>
      <c r="O55" s="210">
        <f t="shared" si="72"/>
        <v>300</v>
      </c>
      <c r="P55" s="210">
        <f t="shared" si="73"/>
        <v>1</v>
      </c>
      <c r="Q55" s="210" t="str">
        <f t="shared" si="74"/>
        <v/>
      </c>
      <c r="R55" s="210" t="str">
        <f t="shared" si="75"/>
        <v/>
      </c>
      <c r="S55" s="210" t="str">
        <f t="shared" si="76"/>
        <v/>
      </c>
      <c r="U55" s="482">
        <f t="shared" si="77"/>
        <v>0</v>
      </c>
      <c r="V55" s="482">
        <f t="shared" si="78"/>
        <v>0</v>
      </c>
      <c r="W55" s="482">
        <f t="shared" si="79"/>
        <v>512</v>
      </c>
      <c r="X55" s="482">
        <f t="shared" si="80"/>
        <v>198.8</v>
      </c>
      <c r="Y55" s="482">
        <f t="shared" si="81"/>
        <v>33.25</v>
      </c>
      <c r="Z55" s="482">
        <f t="shared" si="82"/>
        <v>33.25</v>
      </c>
      <c r="AA55" s="482">
        <f t="shared" si="83"/>
        <v>66.36</v>
      </c>
      <c r="AB55" s="243"/>
      <c r="AC55" s="482">
        <f t="shared" si="84"/>
        <v>198.8</v>
      </c>
      <c r="AD55" s="482">
        <f t="shared" si="85"/>
        <v>66.36</v>
      </c>
      <c r="AE55" s="482">
        <f t="shared" si="86"/>
        <v>265.16000000000003</v>
      </c>
      <c r="AF55" s="482">
        <f t="shared" si="87"/>
        <v>33.25</v>
      </c>
      <c r="AG55" s="482">
        <f t="shared" si="88"/>
        <v>232.05</v>
      </c>
      <c r="AH55" s="482">
        <f t="shared" si="89"/>
        <v>99.61</v>
      </c>
      <c r="AI55" s="482">
        <f t="shared" si="90"/>
        <v>298.41000000000003</v>
      </c>
      <c r="AJ55" s="482">
        <f t="shared" si="91"/>
        <v>0</v>
      </c>
      <c r="AK55" s="482">
        <f t="shared" si="92"/>
        <v>198.8</v>
      </c>
      <c r="AL55" s="482">
        <f t="shared" si="93"/>
        <v>66.36</v>
      </c>
      <c r="AM55" s="482">
        <f t="shared" si="94"/>
        <v>265.16000000000003</v>
      </c>
      <c r="AN55" s="482">
        <f t="shared" si="95"/>
        <v>33.25</v>
      </c>
      <c r="AO55" s="482">
        <f t="shared" si="96"/>
        <v>232.05</v>
      </c>
      <c r="AP55" s="482">
        <f t="shared" si="97"/>
        <v>99.61</v>
      </c>
      <c r="AQ55" s="482">
        <f t="shared" si="98"/>
        <v>298.41000000000003</v>
      </c>
      <c r="AR55" s="482">
        <f t="shared" si="99"/>
        <v>512</v>
      </c>
      <c r="AS55" s="482">
        <f t="shared" si="100"/>
        <v>710.8</v>
      </c>
      <c r="AT55" s="482">
        <f t="shared" si="101"/>
        <v>578.36</v>
      </c>
      <c r="AU55" s="482">
        <f t="shared" si="102"/>
        <v>777.16000000000008</v>
      </c>
      <c r="AV55" s="482">
        <f t="shared" si="103"/>
        <v>545.25</v>
      </c>
      <c r="AW55" s="482">
        <f t="shared" si="104"/>
        <v>744.05</v>
      </c>
      <c r="AX55" s="482">
        <f t="shared" si="105"/>
        <v>611.61</v>
      </c>
      <c r="AY55" s="482">
        <f t="shared" si="106"/>
        <v>810.41000000000008</v>
      </c>
      <c r="AZ55" s="482">
        <f t="shared" si="107"/>
        <v>512</v>
      </c>
      <c r="BA55" s="482">
        <f t="shared" si="108"/>
        <v>710.8</v>
      </c>
      <c r="BB55" s="482">
        <f t="shared" si="109"/>
        <v>578.36</v>
      </c>
      <c r="BC55" s="482">
        <f t="shared" si="110"/>
        <v>777.16000000000008</v>
      </c>
      <c r="BD55" s="482">
        <f t="shared" si="111"/>
        <v>545.25</v>
      </c>
      <c r="BE55" s="482">
        <f t="shared" si="112"/>
        <v>744.05</v>
      </c>
      <c r="BF55" s="482">
        <f t="shared" si="113"/>
        <v>611.61</v>
      </c>
      <c r="BG55" s="482">
        <f t="shared" si="114"/>
        <v>810.41000000000008</v>
      </c>
    </row>
    <row r="56" spans="1:59">
      <c r="A56" s="213" t="s">
        <v>5316</v>
      </c>
      <c r="B56" s="231">
        <v>607962748</v>
      </c>
      <c r="C56" s="210" t="s">
        <v>58</v>
      </c>
      <c r="D56" s="210">
        <v>7200</v>
      </c>
      <c r="F56" s="239" t="str" cm="1">
        <f t="array" aca="1" ref="F56" ca="1">MID(met2utc(PEPSSI_Commanding[[#This Row],[MET]]),3,15)</f>
        <v>25-116/08:40:32</v>
      </c>
      <c r="G56" s="213" t="str">
        <f t="shared" si="65"/>
        <v>N3+7200</v>
      </c>
      <c r="H56" s="214">
        <f t="shared" si="66"/>
        <v>607961216</v>
      </c>
      <c r="I56" s="214">
        <f t="shared" si="67"/>
        <v>607963066</v>
      </c>
      <c r="J56" s="213">
        <f t="shared" si="68"/>
        <v>7</v>
      </c>
      <c r="K56" s="213">
        <f t="shared" si="69"/>
        <v>3</v>
      </c>
      <c r="M56" s="210">
        <f t="shared" si="70"/>
        <v>10</v>
      </c>
      <c r="N56" s="210">
        <f t="shared" si="71"/>
        <v>40</v>
      </c>
      <c r="O56" s="210">
        <f t="shared" si="72"/>
        <v>7200</v>
      </c>
      <c r="P56" s="210">
        <f t="shared" si="73"/>
        <v>1</v>
      </c>
      <c r="Q56" s="210" t="str">
        <f t="shared" si="74"/>
        <v/>
      </c>
      <c r="R56" s="210" t="str">
        <f t="shared" si="75"/>
        <v/>
      </c>
      <c r="S56" s="210" t="str">
        <f t="shared" si="76"/>
        <v/>
      </c>
      <c r="U56" s="482">
        <f t="shared" si="77"/>
        <v>0</v>
      </c>
      <c r="V56" s="482">
        <f t="shared" si="78"/>
        <v>0</v>
      </c>
      <c r="W56" s="482">
        <f t="shared" si="79"/>
        <v>512</v>
      </c>
      <c r="X56" s="482">
        <f t="shared" si="80"/>
        <v>198.8</v>
      </c>
      <c r="Y56" s="482">
        <f t="shared" si="81"/>
        <v>33.25</v>
      </c>
      <c r="Z56" s="482">
        <f t="shared" si="82"/>
        <v>33.25</v>
      </c>
      <c r="AA56" s="482">
        <f t="shared" si="83"/>
        <v>2.7650000000000001</v>
      </c>
      <c r="AB56" s="243"/>
      <c r="AC56" s="482">
        <f t="shared" si="84"/>
        <v>198.8</v>
      </c>
      <c r="AD56" s="482">
        <f t="shared" si="85"/>
        <v>2.7650000000000001</v>
      </c>
      <c r="AE56" s="482">
        <f t="shared" si="86"/>
        <v>201.565</v>
      </c>
      <c r="AF56" s="482">
        <f t="shared" si="87"/>
        <v>33.25</v>
      </c>
      <c r="AG56" s="482">
        <f t="shared" si="88"/>
        <v>232.05</v>
      </c>
      <c r="AH56" s="482">
        <f t="shared" si="89"/>
        <v>36.015000000000001</v>
      </c>
      <c r="AI56" s="482">
        <f t="shared" si="90"/>
        <v>234.815</v>
      </c>
      <c r="AJ56" s="482">
        <f t="shared" si="91"/>
        <v>0</v>
      </c>
      <c r="AK56" s="482">
        <f t="shared" si="92"/>
        <v>198.8</v>
      </c>
      <c r="AL56" s="482">
        <f t="shared" si="93"/>
        <v>2.7650000000000001</v>
      </c>
      <c r="AM56" s="482">
        <f t="shared" si="94"/>
        <v>201.565</v>
      </c>
      <c r="AN56" s="482">
        <f t="shared" si="95"/>
        <v>33.25</v>
      </c>
      <c r="AO56" s="482">
        <f t="shared" si="96"/>
        <v>232.05</v>
      </c>
      <c r="AP56" s="482">
        <f t="shared" si="97"/>
        <v>36.015000000000001</v>
      </c>
      <c r="AQ56" s="482">
        <f t="shared" si="98"/>
        <v>234.815</v>
      </c>
      <c r="AR56" s="482">
        <f t="shared" si="99"/>
        <v>512</v>
      </c>
      <c r="AS56" s="482">
        <f t="shared" si="100"/>
        <v>710.8</v>
      </c>
      <c r="AT56" s="482">
        <f t="shared" si="101"/>
        <v>514.76499999999999</v>
      </c>
      <c r="AU56" s="482">
        <f t="shared" si="102"/>
        <v>713.56500000000005</v>
      </c>
      <c r="AV56" s="482">
        <f t="shared" si="103"/>
        <v>545.25</v>
      </c>
      <c r="AW56" s="482">
        <f t="shared" si="104"/>
        <v>744.05</v>
      </c>
      <c r="AX56" s="482">
        <f t="shared" si="105"/>
        <v>548.01499999999999</v>
      </c>
      <c r="AY56" s="482">
        <f t="shared" si="106"/>
        <v>746.81500000000005</v>
      </c>
      <c r="AZ56" s="482">
        <f t="shared" si="107"/>
        <v>512</v>
      </c>
      <c r="BA56" s="482">
        <f t="shared" si="108"/>
        <v>710.8</v>
      </c>
      <c r="BB56" s="482">
        <f t="shared" si="109"/>
        <v>514.76499999999999</v>
      </c>
      <c r="BC56" s="482">
        <f t="shared" si="110"/>
        <v>713.56500000000005</v>
      </c>
      <c r="BD56" s="482">
        <f t="shared" si="111"/>
        <v>545.25</v>
      </c>
      <c r="BE56" s="482">
        <f t="shared" si="112"/>
        <v>744.05</v>
      </c>
      <c r="BF56" s="482">
        <f t="shared" si="113"/>
        <v>548.01499999999999</v>
      </c>
      <c r="BG56" s="482">
        <f t="shared" si="114"/>
        <v>746.81500000000005</v>
      </c>
    </row>
    <row r="57" spans="1:59">
      <c r="A57" s="213" t="s">
        <v>5316</v>
      </c>
      <c r="B57" s="231">
        <v>607962749</v>
      </c>
      <c r="C57" s="210" t="s">
        <v>1</v>
      </c>
      <c r="D57" s="210">
        <v>3600</v>
      </c>
      <c r="F57" s="239" t="str" cm="1">
        <f t="array" aca="1" ref="F57" ca="1">MID(met2utc(PEPSSI_Commanding[[#This Row],[MET]]),3,15)</f>
        <v>25-116/08:40:33</v>
      </c>
      <c r="G57" s="213" t="str">
        <f t="shared" si="65"/>
        <v>N1+3600</v>
      </c>
      <c r="H57" s="214">
        <f t="shared" si="66"/>
        <v>607961216</v>
      </c>
      <c r="I57" s="214">
        <f t="shared" si="67"/>
        <v>607963066</v>
      </c>
      <c r="J57" s="213">
        <f t="shared" si="68"/>
        <v>8</v>
      </c>
      <c r="K57" s="213">
        <f t="shared" si="69"/>
        <v>2</v>
      </c>
      <c r="M57" s="210">
        <f t="shared" si="70"/>
        <v>3600</v>
      </c>
      <c r="N57" s="210">
        <f t="shared" si="71"/>
        <v>40</v>
      </c>
      <c r="O57" s="210">
        <f t="shared" si="72"/>
        <v>7200</v>
      </c>
      <c r="P57" s="210">
        <f t="shared" si="73"/>
        <v>1</v>
      </c>
      <c r="Q57" s="210" t="str">
        <f t="shared" si="74"/>
        <v/>
      </c>
      <c r="R57" s="210" t="str">
        <f t="shared" si="75"/>
        <v/>
      </c>
      <c r="S57" s="210" t="str">
        <f t="shared" si="76"/>
        <v/>
      </c>
      <c r="U57" s="482">
        <f t="shared" si="77"/>
        <v>0</v>
      </c>
      <c r="V57" s="482">
        <f t="shared" si="78"/>
        <v>0</v>
      </c>
      <c r="W57" s="482">
        <f t="shared" si="79"/>
        <v>512</v>
      </c>
      <c r="X57" s="482">
        <f t="shared" si="80"/>
        <v>0.55222222222222217</v>
      </c>
      <c r="Y57" s="482">
        <f t="shared" si="81"/>
        <v>33.25</v>
      </c>
      <c r="Z57" s="482">
        <f t="shared" si="82"/>
        <v>33.25</v>
      </c>
      <c r="AA57" s="482">
        <f t="shared" si="83"/>
        <v>2.7650000000000001</v>
      </c>
      <c r="AB57" s="243"/>
      <c r="AC57" s="482">
        <f t="shared" si="84"/>
        <v>0.55222222222222217</v>
      </c>
      <c r="AD57" s="482">
        <f t="shared" si="85"/>
        <v>2.7650000000000001</v>
      </c>
      <c r="AE57" s="482">
        <f t="shared" si="86"/>
        <v>3.3172222222222221</v>
      </c>
      <c r="AF57" s="482">
        <f t="shared" si="87"/>
        <v>33.25</v>
      </c>
      <c r="AG57" s="482">
        <f t="shared" si="88"/>
        <v>33.80222222222222</v>
      </c>
      <c r="AH57" s="482">
        <f t="shared" si="89"/>
        <v>36.015000000000001</v>
      </c>
      <c r="AI57" s="482">
        <f t="shared" si="90"/>
        <v>36.56722222222222</v>
      </c>
      <c r="AJ57" s="482">
        <f t="shared" si="91"/>
        <v>0</v>
      </c>
      <c r="AK57" s="482">
        <f t="shared" si="92"/>
        <v>0.55222222222222217</v>
      </c>
      <c r="AL57" s="482">
        <f t="shared" si="93"/>
        <v>2.7650000000000001</v>
      </c>
      <c r="AM57" s="482">
        <f t="shared" si="94"/>
        <v>3.3172222222222221</v>
      </c>
      <c r="AN57" s="482">
        <f t="shared" si="95"/>
        <v>33.25</v>
      </c>
      <c r="AO57" s="482">
        <f t="shared" si="96"/>
        <v>33.80222222222222</v>
      </c>
      <c r="AP57" s="482">
        <f t="shared" si="97"/>
        <v>36.015000000000001</v>
      </c>
      <c r="AQ57" s="482">
        <f t="shared" si="98"/>
        <v>36.56722222222222</v>
      </c>
      <c r="AR57" s="482">
        <f t="shared" si="99"/>
        <v>512</v>
      </c>
      <c r="AS57" s="482">
        <f t="shared" si="100"/>
        <v>512.55222222222221</v>
      </c>
      <c r="AT57" s="482">
        <f t="shared" si="101"/>
        <v>514.76499999999999</v>
      </c>
      <c r="AU57" s="482">
        <f t="shared" si="102"/>
        <v>515.3172222222222</v>
      </c>
      <c r="AV57" s="482">
        <f t="shared" si="103"/>
        <v>545.25</v>
      </c>
      <c r="AW57" s="482">
        <f t="shared" si="104"/>
        <v>545.80222222222221</v>
      </c>
      <c r="AX57" s="482">
        <f t="shared" si="105"/>
        <v>548.01499999999999</v>
      </c>
      <c r="AY57" s="482">
        <f t="shared" si="106"/>
        <v>548.5672222222222</v>
      </c>
      <c r="AZ57" s="482">
        <f t="shared" si="107"/>
        <v>512</v>
      </c>
      <c r="BA57" s="482">
        <f t="shared" si="108"/>
        <v>512.55222222222221</v>
      </c>
      <c r="BB57" s="482">
        <f t="shared" si="109"/>
        <v>514.76499999999999</v>
      </c>
      <c r="BC57" s="482">
        <f t="shared" si="110"/>
        <v>515.3172222222222</v>
      </c>
      <c r="BD57" s="482">
        <f t="shared" si="111"/>
        <v>545.25</v>
      </c>
      <c r="BE57" s="482">
        <f t="shared" si="112"/>
        <v>545.80222222222221</v>
      </c>
      <c r="BF57" s="482">
        <f t="shared" si="113"/>
        <v>548.01499999999999</v>
      </c>
      <c r="BG57" s="482">
        <f t="shared" si="114"/>
        <v>548.5672222222222</v>
      </c>
    </row>
    <row r="58" spans="1:59">
      <c r="A58" s="213" t="s">
        <v>5317</v>
      </c>
      <c r="B58" s="231">
        <v>607962750</v>
      </c>
      <c r="C58" s="210" t="s">
        <v>5284</v>
      </c>
      <c r="D58" s="210">
        <v>300</v>
      </c>
      <c r="F58" s="239" t="str" cm="1">
        <f t="array" aca="1" ref="F58" ca="1">MID(met2utc(PEPSSI_Commanding[[#This Row],[MET]]),3,15)</f>
        <v>25-116/08:40:34</v>
      </c>
      <c r="G58" s="213" t="str">
        <f t="shared" si="65"/>
        <v>STAT+300</v>
      </c>
      <c r="H58" s="214">
        <f t="shared" si="66"/>
        <v>607961216</v>
      </c>
      <c r="I58" s="214">
        <f t="shared" si="67"/>
        <v>607963066</v>
      </c>
      <c r="J58" s="213">
        <f t="shared" si="68"/>
        <v>9</v>
      </c>
      <c r="K58" s="213">
        <f t="shared" si="69"/>
        <v>1</v>
      </c>
      <c r="M58" s="210">
        <f t="shared" si="70"/>
        <v>3600</v>
      </c>
      <c r="N58" s="210">
        <f t="shared" si="71"/>
        <v>40</v>
      </c>
      <c r="O58" s="210">
        <f t="shared" si="72"/>
        <v>7200</v>
      </c>
      <c r="P58" s="210">
        <f t="shared" si="73"/>
        <v>300</v>
      </c>
      <c r="Q58" s="210" t="str">
        <f t="shared" si="74"/>
        <v/>
      </c>
      <c r="R58" s="210" t="str">
        <f t="shared" si="75"/>
        <v/>
      </c>
      <c r="S58" s="210" t="str">
        <f t="shared" si="76"/>
        <v/>
      </c>
      <c r="U58" s="482">
        <f t="shared" si="77"/>
        <v>0</v>
      </c>
      <c r="V58" s="482">
        <f t="shared" si="78"/>
        <v>0</v>
      </c>
      <c r="W58" s="482">
        <f t="shared" si="79"/>
        <v>1.7066666666666668</v>
      </c>
      <c r="X58" s="482">
        <f t="shared" si="80"/>
        <v>0.55222222222222217</v>
      </c>
      <c r="Y58" s="482">
        <f t="shared" si="81"/>
        <v>33.25</v>
      </c>
      <c r="Z58" s="482">
        <f t="shared" si="82"/>
        <v>33.25</v>
      </c>
      <c r="AA58" s="482">
        <f t="shared" si="83"/>
        <v>2.7650000000000001</v>
      </c>
      <c r="AB58" s="243"/>
      <c r="AC58" s="482">
        <f t="shared" si="84"/>
        <v>0.55222222222222217</v>
      </c>
      <c r="AD58" s="482">
        <f t="shared" si="85"/>
        <v>2.7650000000000001</v>
      </c>
      <c r="AE58" s="482">
        <f t="shared" si="86"/>
        <v>3.3172222222222221</v>
      </c>
      <c r="AF58" s="482">
        <f t="shared" si="87"/>
        <v>33.25</v>
      </c>
      <c r="AG58" s="482">
        <f t="shared" si="88"/>
        <v>33.80222222222222</v>
      </c>
      <c r="AH58" s="482">
        <f t="shared" si="89"/>
        <v>36.015000000000001</v>
      </c>
      <c r="AI58" s="482">
        <f t="shared" si="90"/>
        <v>36.56722222222222</v>
      </c>
      <c r="AJ58" s="482">
        <f t="shared" si="91"/>
        <v>0</v>
      </c>
      <c r="AK58" s="482">
        <f t="shared" si="92"/>
        <v>0.55222222222222217</v>
      </c>
      <c r="AL58" s="482">
        <f t="shared" si="93"/>
        <v>2.7650000000000001</v>
      </c>
      <c r="AM58" s="482">
        <f t="shared" si="94"/>
        <v>3.3172222222222221</v>
      </c>
      <c r="AN58" s="482">
        <f t="shared" si="95"/>
        <v>33.25</v>
      </c>
      <c r="AO58" s="482">
        <f t="shared" si="96"/>
        <v>33.80222222222222</v>
      </c>
      <c r="AP58" s="482">
        <f t="shared" si="97"/>
        <v>36.015000000000001</v>
      </c>
      <c r="AQ58" s="482">
        <f t="shared" si="98"/>
        <v>36.56722222222222</v>
      </c>
      <c r="AR58" s="482">
        <f t="shared" si="99"/>
        <v>1.7066666666666668</v>
      </c>
      <c r="AS58" s="482">
        <f t="shared" si="100"/>
        <v>2.2588888888888889</v>
      </c>
      <c r="AT58" s="482">
        <f t="shared" si="101"/>
        <v>4.4716666666666667</v>
      </c>
      <c r="AU58" s="482">
        <f t="shared" si="102"/>
        <v>5.0238888888888891</v>
      </c>
      <c r="AV58" s="482">
        <f t="shared" si="103"/>
        <v>34.956666666666663</v>
      </c>
      <c r="AW58" s="482">
        <f t="shared" si="104"/>
        <v>35.508888888888883</v>
      </c>
      <c r="AX58" s="482">
        <f t="shared" si="105"/>
        <v>37.721666666666664</v>
      </c>
      <c r="AY58" s="482">
        <f t="shared" si="106"/>
        <v>38.273888888888884</v>
      </c>
      <c r="AZ58" s="482">
        <f t="shared" si="107"/>
        <v>1.7066666666666668</v>
      </c>
      <c r="BA58" s="482">
        <f t="shared" si="108"/>
        <v>2.2588888888888889</v>
      </c>
      <c r="BB58" s="482">
        <f t="shared" si="109"/>
        <v>4.4716666666666667</v>
      </c>
      <c r="BC58" s="482">
        <f t="shared" si="110"/>
        <v>5.0238888888888891</v>
      </c>
      <c r="BD58" s="482">
        <f t="shared" si="111"/>
        <v>34.956666666666663</v>
      </c>
      <c r="BE58" s="482">
        <f t="shared" si="112"/>
        <v>35.508888888888883</v>
      </c>
      <c r="BF58" s="482">
        <f t="shared" si="113"/>
        <v>37.721666666666664</v>
      </c>
      <c r="BG58" s="482">
        <f t="shared" si="114"/>
        <v>38.273888888888884</v>
      </c>
    </row>
    <row r="59" spans="1:59">
      <c r="A59" s="213" t="s">
        <v>5316</v>
      </c>
      <c r="B59" s="231">
        <v>607963066</v>
      </c>
      <c r="C59" s="210" t="s">
        <v>61</v>
      </c>
      <c r="D59" s="210">
        <v>120</v>
      </c>
      <c r="F59" s="239" t="str" cm="1">
        <f t="array" aca="1" ref="F59" ca="1">MID(met2utc(PEPSSI_Commanding[[#This Row],[MET]]),3,15)</f>
        <v>25-116/08:45:50</v>
      </c>
      <c r="G59" s="213" t="str">
        <f t="shared" si="65"/>
        <v>N2+120</v>
      </c>
      <c r="H59" s="214">
        <f t="shared" si="66"/>
        <v>607963066</v>
      </c>
      <c r="I59" s="214">
        <f t="shared" si="67"/>
        <v>608130186</v>
      </c>
      <c r="J59" s="213">
        <f t="shared" si="68"/>
        <v>10</v>
      </c>
      <c r="K59" s="213">
        <f t="shared" si="69"/>
        <v>6</v>
      </c>
      <c r="M59" s="210">
        <f t="shared" si="70"/>
        <v>3600</v>
      </c>
      <c r="N59" s="210">
        <f t="shared" si="71"/>
        <v>120</v>
      </c>
      <c r="O59" s="210">
        <f t="shared" si="72"/>
        <v>7200</v>
      </c>
      <c r="P59" s="210">
        <f t="shared" si="73"/>
        <v>300</v>
      </c>
      <c r="Q59" s="210" t="str">
        <f t="shared" si="74"/>
        <v/>
      </c>
      <c r="R59" s="210" t="str">
        <f t="shared" si="75"/>
        <v/>
      </c>
      <c r="S59" s="210" t="str">
        <f t="shared" si="76"/>
        <v/>
      </c>
      <c r="U59" s="482">
        <f t="shared" si="77"/>
        <v>0</v>
      </c>
      <c r="V59" s="482">
        <f t="shared" si="78"/>
        <v>0</v>
      </c>
      <c r="W59" s="482">
        <f t="shared" si="79"/>
        <v>1.7066666666666668</v>
      </c>
      <c r="X59" s="482">
        <f t="shared" si="80"/>
        <v>0.55222222222222217</v>
      </c>
      <c r="Y59" s="482">
        <f t="shared" si="81"/>
        <v>11.083333333333334</v>
      </c>
      <c r="Z59" s="482">
        <f t="shared" si="82"/>
        <v>11.083333333333334</v>
      </c>
      <c r="AA59" s="482">
        <f t="shared" si="83"/>
        <v>2.7650000000000001</v>
      </c>
      <c r="AB59" s="243"/>
      <c r="AC59" s="482">
        <f t="shared" si="84"/>
        <v>0.55222222222222217</v>
      </c>
      <c r="AD59" s="482">
        <f t="shared" si="85"/>
        <v>2.7650000000000001</v>
      </c>
      <c r="AE59" s="482">
        <f t="shared" si="86"/>
        <v>3.3172222222222221</v>
      </c>
      <c r="AF59" s="482">
        <f t="shared" si="87"/>
        <v>11.083333333333334</v>
      </c>
      <c r="AG59" s="482">
        <f t="shared" si="88"/>
        <v>11.635555555555555</v>
      </c>
      <c r="AH59" s="482">
        <f t="shared" si="89"/>
        <v>13.848333333333334</v>
      </c>
      <c r="AI59" s="482">
        <f t="shared" si="90"/>
        <v>14.400555555555556</v>
      </c>
      <c r="AJ59" s="482">
        <f t="shared" si="91"/>
        <v>0</v>
      </c>
      <c r="AK59" s="482">
        <f t="shared" si="92"/>
        <v>0.55222222222222217</v>
      </c>
      <c r="AL59" s="482">
        <f t="shared" si="93"/>
        <v>2.7650000000000001</v>
      </c>
      <c r="AM59" s="482">
        <f t="shared" si="94"/>
        <v>3.3172222222222221</v>
      </c>
      <c r="AN59" s="482">
        <f t="shared" si="95"/>
        <v>11.083333333333334</v>
      </c>
      <c r="AO59" s="482">
        <f t="shared" si="96"/>
        <v>11.635555555555555</v>
      </c>
      <c r="AP59" s="482">
        <f t="shared" si="97"/>
        <v>13.848333333333334</v>
      </c>
      <c r="AQ59" s="482">
        <f t="shared" si="98"/>
        <v>14.400555555555556</v>
      </c>
      <c r="AR59" s="482">
        <f t="shared" si="99"/>
        <v>1.7066666666666668</v>
      </c>
      <c r="AS59" s="482">
        <f t="shared" si="100"/>
        <v>2.2588888888888889</v>
      </c>
      <c r="AT59" s="482">
        <f t="shared" si="101"/>
        <v>4.4716666666666667</v>
      </c>
      <c r="AU59" s="482">
        <f t="shared" si="102"/>
        <v>5.0238888888888891</v>
      </c>
      <c r="AV59" s="482">
        <f t="shared" si="103"/>
        <v>12.790000000000001</v>
      </c>
      <c r="AW59" s="482">
        <f t="shared" si="104"/>
        <v>13.342222222222222</v>
      </c>
      <c r="AX59" s="482">
        <f t="shared" si="105"/>
        <v>15.555000000000001</v>
      </c>
      <c r="AY59" s="482">
        <f t="shared" si="106"/>
        <v>16.107222222222223</v>
      </c>
      <c r="AZ59" s="482">
        <f t="shared" si="107"/>
        <v>1.7066666666666668</v>
      </c>
      <c r="BA59" s="482">
        <f t="shared" si="108"/>
        <v>2.2588888888888889</v>
      </c>
      <c r="BB59" s="482">
        <f t="shared" si="109"/>
        <v>4.4716666666666667</v>
      </c>
      <c r="BC59" s="482">
        <f t="shared" si="110"/>
        <v>5.0238888888888891</v>
      </c>
      <c r="BD59" s="482">
        <f t="shared" si="111"/>
        <v>12.790000000000001</v>
      </c>
      <c r="BE59" s="482">
        <f t="shared" si="112"/>
        <v>13.342222222222222</v>
      </c>
      <c r="BF59" s="482">
        <f t="shared" si="113"/>
        <v>15.555000000000001</v>
      </c>
      <c r="BG59" s="482">
        <f t="shared" si="114"/>
        <v>16.107222222222223</v>
      </c>
    </row>
    <row r="60" spans="1:59">
      <c r="A60" s="213" t="s">
        <v>5316</v>
      </c>
      <c r="B60" s="231">
        <v>607963069</v>
      </c>
      <c r="C60" s="210" t="s">
        <v>1</v>
      </c>
      <c r="D60" s="210">
        <v>120</v>
      </c>
      <c r="F60" s="239" t="str" cm="1">
        <f t="array" aca="1" ref="F60" ca="1">MID(met2utc(PEPSSI_Commanding[[#This Row],[MET]]),3,15)</f>
        <v>25-116/08:45:53</v>
      </c>
      <c r="G60" s="213" t="str">
        <f t="shared" si="65"/>
        <v>N1+120</v>
      </c>
      <c r="H60" s="214">
        <f t="shared" si="66"/>
        <v>607963066</v>
      </c>
      <c r="I60" s="214">
        <f t="shared" si="67"/>
        <v>608130186</v>
      </c>
      <c r="J60" s="213">
        <f t="shared" si="68"/>
        <v>11</v>
      </c>
      <c r="K60" s="213">
        <f t="shared" si="69"/>
        <v>5</v>
      </c>
      <c r="M60" s="210">
        <f t="shared" si="70"/>
        <v>120</v>
      </c>
      <c r="N60" s="210">
        <f t="shared" si="71"/>
        <v>120</v>
      </c>
      <c r="O60" s="210">
        <f t="shared" si="72"/>
        <v>7200</v>
      </c>
      <c r="P60" s="210">
        <f t="shared" si="73"/>
        <v>300</v>
      </c>
      <c r="Q60" s="210" t="str">
        <f t="shared" si="74"/>
        <v/>
      </c>
      <c r="R60" s="210" t="str">
        <f t="shared" si="75"/>
        <v/>
      </c>
      <c r="S60" s="210" t="str">
        <f t="shared" si="76"/>
        <v/>
      </c>
      <c r="U60" s="482">
        <f t="shared" si="77"/>
        <v>0</v>
      </c>
      <c r="V60" s="482">
        <f t="shared" si="78"/>
        <v>0</v>
      </c>
      <c r="W60" s="482">
        <f t="shared" si="79"/>
        <v>1.7066666666666668</v>
      </c>
      <c r="X60" s="482">
        <f t="shared" si="80"/>
        <v>16.566666666666666</v>
      </c>
      <c r="Y60" s="482">
        <f t="shared" si="81"/>
        <v>11.083333333333334</v>
      </c>
      <c r="Z60" s="482">
        <f t="shared" si="82"/>
        <v>11.083333333333334</v>
      </c>
      <c r="AA60" s="482">
        <f t="shared" si="83"/>
        <v>2.7650000000000001</v>
      </c>
      <c r="AB60" s="243"/>
      <c r="AC60" s="482">
        <f t="shared" si="84"/>
        <v>16.566666666666666</v>
      </c>
      <c r="AD60" s="482">
        <f t="shared" si="85"/>
        <v>2.7650000000000001</v>
      </c>
      <c r="AE60" s="482">
        <f t="shared" si="86"/>
        <v>19.331666666666667</v>
      </c>
      <c r="AF60" s="482">
        <f t="shared" si="87"/>
        <v>11.083333333333334</v>
      </c>
      <c r="AG60" s="482">
        <f t="shared" si="88"/>
        <v>27.65</v>
      </c>
      <c r="AH60" s="482">
        <f t="shared" si="89"/>
        <v>13.848333333333334</v>
      </c>
      <c r="AI60" s="482">
        <f t="shared" si="90"/>
        <v>30.414999999999999</v>
      </c>
      <c r="AJ60" s="482">
        <f t="shared" si="91"/>
        <v>0</v>
      </c>
      <c r="AK60" s="482">
        <f t="shared" si="92"/>
        <v>16.566666666666666</v>
      </c>
      <c r="AL60" s="482">
        <f t="shared" si="93"/>
        <v>2.7650000000000001</v>
      </c>
      <c r="AM60" s="482">
        <f t="shared" si="94"/>
        <v>19.331666666666667</v>
      </c>
      <c r="AN60" s="482">
        <f t="shared" si="95"/>
        <v>11.083333333333334</v>
      </c>
      <c r="AO60" s="482">
        <f t="shared" si="96"/>
        <v>27.65</v>
      </c>
      <c r="AP60" s="482">
        <f t="shared" si="97"/>
        <v>13.848333333333334</v>
      </c>
      <c r="AQ60" s="482">
        <f t="shared" si="98"/>
        <v>30.414999999999999</v>
      </c>
      <c r="AR60" s="482">
        <f t="shared" si="99"/>
        <v>1.7066666666666668</v>
      </c>
      <c r="AS60" s="482">
        <f t="shared" si="100"/>
        <v>18.273333333333333</v>
      </c>
      <c r="AT60" s="482">
        <f t="shared" si="101"/>
        <v>4.4716666666666667</v>
      </c>
      <c r="AU60" s="482">
        <f t="shared" si="102"/>
        <v>21.038333333333334</v>
      </c>
      <c r="AV60" s="482">
        <f t="shared" si="103"/>
        <v>12.790000000000001</v>
      </c>
      <c r="AW60" s="482">
        <f t="shared" si="104"/>
        <v>29.356666666666669</v>
      </c>
      <c r="AX60" s="482">
        <f t="shared" si="105"/>
        <v>15.555000000000001</v>
      </c>
      <c r="AY60" s="482">
        <f t="shared" si="106"/>
        <v>32.12166666666667</v>
      </c>
      <c r="AZ60" s="482">
        <f t="shared" si="107"/>
        <v>1.7066666666666668</v>
      </c>
      <c r="BA60" s="482">
        <f t="shared" si="108"/>
        <v>18.273333333333333</v>
      </c>
      <c r="BB60" s="482">
        <f t="shared" si="109"/>
        <v>4.4716666666666667</v>
      </c>
      <c r="BC60" s="482">
        <f t="shared" si="110"/>
        <v>21.038333333333334</v>
      </c>
      <c r="BD60" s="482">
        <f t="shared" si="111"/>
        <v>12.790000000000001</v>
      </c>
      <c r="BE60" s="482">
        <f t="shared" si="112"/>
        <v>29.356666666666669</v>
      </c>
      <c r="BF60" s="482">
        <f t="shared" si="113"/>
        <v>15.555000000000001</v>
      </c>
      <c r="BG60" s="482">
        <f t="shared" si="114"/>
        <v>32.12166666666667</v>
      </c>
    </row>
    <row r="61" spans="1:59">
      <c r="A61" s="213" t="s">
        <v>5316</v>
      </c>
      <c r="B61" s="231">
        <v>607963072</v>
      </c>
      <c r="C61" s="210" t="s">
        <v>58</v>
      </c>
      <c r="D61" s="210">
        <v>7200</v>
      </c>
      <c r="F61" s="239" t="str" cm="1">
        <f t="array" aca="1" ref="F61" ca="1">MID(met2utc(PEPSSI_Commanding[[#This Row],[MET]]),3,15)</f>
        <v>25-116/08:45:56</v>
      </c>
      <c r="G61" s="213" t="str">
        <f t="shared" si="65"/>
        <v>N3+7200</v>
      </c>
      <c r="H61" s="214">
        <f t="shared" si="66"/>
        <v>607963066</v>
      </c>
      <c r="I61" s="214">
        <f t="shared" si="67"/>
        <v>608130186</v>
      </c>
      <c r="J61" s="213">
        <f t="shared" si="68"/>
        <v>12</v>
      </c>
      <c r="K61" s="213">
        <f t="shared" si="69"/>
        <v>4</v>
      </c>
      <c r="M61" s="210">
        <f t="shared" si="70"/>
        <v>120</v>
      </c>
      <c r="N61" s="210">
        <f t="shared" si="71"/>
        <v>120</v>
      </c>
      <c r="O61" s="210">
        <f t="shared" si="72"/>
        <v>7200</v>
      </c>
      <c r="P61" s="210">
        <f t="shared" si="73"/>
        <v>300</v>
      </c>
      <c r="Q61" s="210" t="str">
        <f t="shared" si="74"/>
        <v/>
      </c>
      <c r="R61" s="210" t="str">
        <f t="shared" si="75"/>
        <v/>
      </c>
      <c r="S61" s="210" t="str">
        <f t="shared" si="76"/>
        <v/>
      </c>
      <c r="U61" s="482">
        <f t="shared" si="77"/>
        <v>0</v>
      </c>
      <c r="V61" s="482">
        <f t="shared" si="78"/>
        <v>0</v>
      </c>
      <c r="W61" s="482">
        <f t="shared" si="79"/>
        <v>1.7066666666666668</v>
      </c>
      <c r="X61" s="482">
        <f t="shared" si="80"/>
        <v>16.566666666666666</v>
      </c>
      <c r="Y61" s="482">
        <f t="shared" si="81"/>
        <v>11.083333333333334</v>
      </c>
      <c r="Z61" s="482">
        <f t="shared" si="82"/>
        <v>11.083333333333334</v>
      </c>
      <c r="AA61" s="482">
        <f t="shared" si="83"/>
        <v>2.7650000000000001</v>
      </c>
      <c r="AB61" s="243"/>
      <c r="AC61" s="482">
        <f t="shared" si="84"/>
        <v>16.566666666666666</v>
      </c>
      <c r="AD61" s="482">
        <f t="shared" si="85"/>
        <v>2.7650000000000001</v>
      </c>
      <c r="AE61" s="482">
        <f t="shared" si="86"/>
        <v>19.331666666666667</v>
      </c>
      <c r="AF61" s="482">
        <f t="shared" si="87"/>
        <v>11.083333333333334</v>
      </c>
      <c r="AG61" s="482">
        <f t="shared" si="88"/>
        <v>27.65</v>
      </c>
      <c r="AH61" s="482">
        <f t="shared" si="89"/>
        <v>13.848333333333334</v>
      </c>
      <c r="AI61" s="482">
        <f t="shared" si="90"/>
        <v>30.414999999999999</v>
      </c>
      <c r="AJ61" s="482">
        <f t="shared" si="91"/>
        <v>0</v>
      </c>
      <c r="AK61" s="482">
        <f t="shared" si="92"/>
        <v>16.566666666666666</v>
      </c>
      <c r="AL61" s="482">
        <f t="shared" si="93"/>
        <v>2.7650000000000001</v>
      </c>
      <c r="AM61" s="482">
        <f t="shared" si="94"/>
        <v>19.331666666666667</v>
      </c>
      <c r="AN61" s="482">
        <f t="shared" si="95"/>
        <v>11.083333333333334</v>
      </c>
      <c r="AO61" s="482">
        <f t="shared" si="96"/>
        <v>27.65</v>
      </c>
      <c r="AP61" s="482">
        <f t="shared" si="97"/>
        <v>13.848333333333334</v>
      </c>
      <c r="AQ61" s="482">
        <f t="shared" si="98"/>
        <v>30.414999999999999</v>
      </c>
      <c r="AR61" s="482">
        <f t="shared" si="99"/>
        <v>1.7066666666666668</v>
      </c>
      <c r="AS61" s="482">
        <f t="shared" si="100"/>
        <v>18.273333333333333</v>
      </c>
      <c r="AT61" s="482">
        <f t="shared" si="101"/>
        <v>4.4716666666666667</v>
      </c>
      <c r="AU61" s="482">
        <f t="shared" si="102"/>
        <v>21.038333333333334</v>
      </c>
      <c r="AV61" s="482">
        <f t="shared" si="103"/>
        <v>12.790000000000001</v>
      </c>
      <c r="AW61" s="482">
        <f t="shared" si="104"/>
        <v>29.356666666666669</v>
      </c>
      <c r="AX61" s="482">
        <f t="shared" si="105"/>
        <v>15.555000000000001</v>
      </c>
      <c r="AY61" s="482">
        <f t="shared" si="106"/>
        <v>32.12166666666667</v>
      </c>
      <c r="AZ61" s="482">
        <f t="shared" si="107"/>
        <v>1.7066666666666668</v>
      </c>
      <c r="BA61" s="482">
        <f t="shared" si="108"/>
        <v>18.273333333333333</v>
      </c>
      <c r="BB61" s="482">
        <f t="shared" si="109"/>
        <v>4.4716666666666667</v>
      </c>
      <c r="BC61" s="482">
        <f t="shared" si="110"/>
        <v>21.038333333333334</v>
      </c>
      <c r="BD61" s="482">
        <f t="shared" si="111"/>
        <v>12.790000000000001</v>
      </c>
      <c r="BE61" s="482">
        <f t="shared" si="112"/>
        <v>29.356666666666669</v>
      </c>
      <c r="BF61" s="482">
        <f t="shared" si="113"/>
        <v>15.555000000000001</v>
      </c>
      <c r="BG61" s="482">
        <f t="shared" si="114"/>
        <v>32.12166666666667</v>
      </c>
    </row>
    <row r="62" spans="1:59">
      <c r="A62" s="213" t="s">
        <v>5317</v>
      </c>
      <c r="B62" s="231">
        <v>607963075</v>
      </c>
      <c r="C62" s="210" t="s">
        <v>5284</v>
      </c>
      <c r="D62" s="210">
        <v>1800</v>
      </c>
      <c r="F62" s="239" t="str" cm="1">
        <f t="array" aca="1" ref="F62" ca="1">MID(met2utc(PEPSSI_Commanding[[#This Row],[MET]]),3,15)</f>
        <v>25-116/08:45:59</v>
      </c>
      <c r="G62" s="213" t="str">
        <f t="shared" si="65"/>
        <v>STAT+1800</v>
      </c>
      <c r="H62" s="214">
        <f t="shared" si="66"/>
        <v>607963066</v>
      </c>
      <c r="I62" s="214">
        <f t="shared" si="67"/>
        <v>608130186</v>
      </c>
      <c r="J62" s="213">
        <f t="shared" si="68"/>
        <v>13</v>
      </c>
      <c r="K62" s="213">
        <f t="shared" si="69"/>
        <v>3</v>
      </c>
      <c r="M62" s="210">
        <f t="shared" si="70"/>
        <v>120</v>
      </c>
      <c r="N62" s="210">
        <f t="shared" si="71"/>
        <v>120</v>
      </c>
      <c r="O62" s="210">
        <f t="shared" si="72"/>
        <v>7200</v>
      </c>
      <c r="P62" s="210">
        <f t="shared" si="73"/>
        <v>1800</v>
      </c>
      <c r="Q62" s="210" t="str">
        <f t="shared" si="74"/>
        <v/>
      </c>
      <c r="R62" s="210" t="str">
        <f t="shared" si="75"/>
        <v/>
      </c>
      <c r="S62" s="210" t="str">
        <f t="shared" si="76"/>
        <v/>
      </c>
      <c r="U62" s="482">
        <f t="shared" si="77"/>
        <v>0</v>
      </c>
      <c r="V62" s="482">
        <f t="shared" si="78"/>
        <v>0</v>
      </c>
      <c r="W62" s="482">
        <f t="shared" si="79"/>
        <v>0.28444444444444444</v>
      </c>
      <c r="X62" s="482">
        <f t="shared" si="80"/>
        <v>16.566666666666666</v>
      </c>
      <c r="Y62" s="482">
        <f t="shared" si="81"/>
        <v>11.083333333333334</v>
      </c>
      <c r="Z62" s="482">
        <f t="shared" si="82"/>
        <v>11.083333333333334</v>
      </c>
      <c r="AA62" s="482">
        <f t="shared" si="83"/>
        <v>2.7650000000000001</v>
      </c>
      <c r="AB62" s="243"/>
      <c r="AC62" s="482">
        <f t="shared" si="84"/>
        <v>16.566666666666666</v>
      </c>
      <c r="AD62" s="482">
        <f t="shared" si="85"/>
        <v>2.7650000000000001</v>
      </c>
      <c r="AE62" s="482">
        <f t="shared" si="86"/>
        <v>19.331666666666667</v>
      </c>
      <c r="AF62" s="482">
        <f t="shared" si="87"/>
        <v>11.083333333333334</v>
      </c>
      <c r="AG62" s="482">
        <f t="shared" si="88"/>
        <v>27.65</v>
      </c>
      <c r="AH62" s="482">
        <f t="shared" si="89"/>
        <v>13.848333333333334</v>
      </c>
      <c r="AI62" s="482">
        <f t="shared" si="90"/>
        <v>30.414999999999999</v>
      </c>
      <c r="AJ62" s="482">
        <f t="shared" si="91"/>
        <v>0</v>
      </c>
      <c r="AK62" s="482">
        <f t="shared" si="92"/>
        <v>16.566666666666666</v>
      </c>
      <c r="AL62" s="482">
        <f t="shared" si="93"/>
        <v>2.7650000000000001</v>
      </c>
      <c r="AM62" s="482">
        <f t="shared" si="94"/>
        <v>19.331666666666667</v>
      </c>
      <c r="AN62" s="482">
        <f t="shared" si="95"/>
        <v>11.083333333333334</v>
      </c>
      <c r="AO62" s="482">
        <f t="shared" si="96"/>
        <v>27.65</v>
      </c>
      <c r="AP62" s="482">
        <f t="shared" si="97"/>
        <v>13.848333333333334</v>
      </c>
      <c r="AQ62" s="482">
        <f t="shared" si="98"/>
        <v>30.414999999999999</v>
      </c>
      <c r="AR62" s="482">
        <f t="shared" si="99"/>
        <v>0.28444444444444444</v>
      </c>
      <c r="AS62" s="482">
        <f t="shared" si="100"/>
        <v>16.851111111111109</v>
      </c>
      <c r="AT62" s="482">
        <f t="shared" si="101"/>
        <v>3.0494444444444446</v>
      </c>
      <c r="AU62" s="482">
        <f t="shared" si="102"/>
        <v>19.61611111111111</v>
      </c>
      <c r="AV62" s="482">
        <f t="shared" si="103"/>
        <v>11.367777777777778</v>
      </c>
      <c r="AW62" s="482">
        <f t="shared" si="104"/>
        <v>27.934444444444445</v>
      </c>
      <c r="AX62" s="482">
        <f t="shared" si="105"/>
        <v>14.132777777777779</v>
      </c>
      <c r="AY62" s="482">
        <f t="shared" si="106"/>
        <v>30.699444444444445</v>
      </c>
      <c r="AZ62" s="482">
        <f t="shared" si="107"/>
        <v>0.28444444444444444</v>
      </c>
      <c r="BA62" s="482">
        <f t="shared" si="108"/>
        <v>16.851111111111109</v>
      </c>
      <c r="BB62" s="482">
        <f t="shared" si="109"/>
        <v>3.0494444444444446</v>
      </c>
      <c r="BC62" s="482">
        <f t="shared" si="110"/>
        <v>19.61611111111111</v>
      </c>
      <c r="BD62" s="482">
        <f t="shared" si="111"/>
        <v>11.367777777777778</v>
      </c>
      <c r="BE62" s="482">
        <f t="shared" si="112"/>
        <v>27.934444444444445</v>
      </c>
      <c r="BF62" s="482">
        <f t="shared" si="113"/>
        <v>14.132777777777779</v>
      </c>
      <c r="BG62" s="482">
        <f t="shared" si="114"/>
        <v>30.699444444444445</v>
      </c>
    </row>
    <row r="63" spans="1:59">
      <c r="A63" s="213" t="s">
        <v>5315</v>
      </c>
      <c r="B63" s="231">
        <v>607963676</v>
      </c>
      <c r="C63" s="210" t="s">
        <v>5285</v>
      </c>
      <c r="D63" s="210">
        <v>101</v>
      </c>
      <c r="F63" s="239" t="str" cm="1">
        <f t="array" aca="1" ref="F63" ca="1">MID(met2utc(PEPSSI_Commanding[[#This Row],[MET]]),3,15)</f>
        <v>25-116/08:56:00</v>
      </c>
      <c r="G63" s="213" t="str">
        <f t="shared" si="65"/>
        <v>MAC+101</v>
      </c>
      <c r="H63" s="214">
        <f t="shared" si="66"/>
        <v>607963066</v>
      </c>
      <c r="I63" s="214">
        <f t="shared" si="67"/>
        <v>608130186</v>
      </c>
      <c r="J63" s="213">
        <f t="shared" si="68"/>
        <v>14</v>
      </c>
      <c r="K63" s="213">
        <f t="shared" si="69"/>
        <v>2</v>
      </c>
      <c r="M63" s="210">
        <f t="shared" si="70"/>
        <v>120</v>
      </c>
      <c r="N63" s="210">
        <f t="shared" si="71"/>
        <v>120</v>
      </c>
      <c r="O63" s="210">
        <f t="shared" si="72"/>
        <v>7200</v>
      </c>
      <c r="P63" s="210">
        <f t="shared" si="73"/>
        <v>1800</v>
      </c>
      <c r="Q63" s="210" t="str">
        <f t="shared" si="74"/>
        <v/>
      </c>
      <c r="R63" s="210">
        <f t="shared" si="75"/>
        <v>600</v>
      </c>
      <c r="S63" s="210" t="str">
        <f t="shared" si="76"/>
        <v/>
      </c>
      <c r="U63" s="482">
        <f t="shared" si="77"/>
        <v>7.3437500000000003E-2</v>
      </c>
      <c r="V63" s="482">
        <f t="shared" si="78"/>
        <v>0.3046875</v>
      </c>
      <c r="W63" s="482">
        <f t="shared" si="79"/>
        <v>0.28444444444444444</v>
      </c>
      <c r="X63" s="482">
        <f t="shared" si="80"/>
        <v>16.566666666666666</v>
      </c>
      <c r="Y63" s="482">
        <f t="shared" si="81"/>
        <v>11.083333333333334</v>
      </c>
      <c r="Z63" s="482">
        <f t="shared" si="82"/>
        <v>0.15393518518518517</v>
      </c>
      <c r="AA63" s="482">
        <f t="shared" si="83"/>
        <v>2.7650000000000001</v>
      </c>
      <c r="AB63" s="243"/>
      <c r="AC63" s="482">
        <f t="shared" si="84"/>
        <v>16.566666666666666</v>
      </c>
      <c r="AD63" s="482">
        <f t="shared" si="85"/>
        <v>2.7650000000000001</v>
      </c>
      <c r="AE63" s="482">
        <f t="shared" si="86"/>
        <v>19.331666666666667</v>
      </c>
      <c r="AF63" s="482">
        <f t="shared" si="87"/>
        <v>0.45862268518518517</v>
      </c>
      <c r="AG63" s="482">
        <f t="shared" si="88"/>
        <v>17.025289351851853</v>
      </c>
      <c r="AH63" s="482">
        <f t="shared" si="89"/>
        <v>3.2236226851851852</v>
      </c>
      <c r="AI63" s="482">
        <f t="shared" si="90"/>
        <v>19.79028935185185</v>
      </c>
      <c r="AJ63" s="482">
        <f t="shared" si="91"/>
        <v>7.3437500000000003E-2</v>
      </c>
      <c r="AK63" s="482">
        <f t="shared" si="92"/>
        <v>16.640104166666667</v>
      </c>
      <c r="AL63" s="482">
        <f t="shared" si="93"/>
        <v>2.8384374999999999</v>
      </c>
      <c r="AM63" s="482">
        <f t="shared" si="94"/>
        <v>19.405104166666668</v>
      </c>
      <c r="AN63" s="482">
        <f t="shared" si="95"/>
        <v>0.53206018518518516</v>
      </c>
      <c r="AO63" s="482">
        <f t="shared" si="96"/>
        <v>17.09872685185185</v>
      </c>
      <c r="AP63" s="482">
        <f t="shared" si="97"/>
        <v>3.2970601851851855</v>
      </c>
      <c r="AQ63" s="482">
        <f t="shared" si="98"/>
        <v>19.863726851851851</v>
      </c>
      <c r="AR63" s="482">
        <f t="shared" si="99"/>
        <v>0.28444444444444444</v>
      </c>
      <c r="AS63" s="482">
        <f t="shared" si="100"/>
        <v>16.851111111111109</v>
      </c>
      <c r="AT63" s="482">
        <f t="shared" si="101"/>
        <v>3.0494444444444446</v>
      </c>
      <c r="AU63" s="482">
        <f t="shared" si="102"/>
        <v>19.61611111111111</v>
      </c>
      <c r="AV63" s="482">
        <f t="shared" si="103"/>
        <v>0.74306712962962962</v>
      </c>
      <c r="AW63" s="482">
        <f t="shared" si="104"/>
        <v>17.309733796296296</v>
      </c>
      <c r="AX63" s="482">
        <f t="shared" si="105"/>
        <v>3.5080671296296297</v>
      </c>
      <c r="AY63" s="482">
        <f t="shared" si="106"/>
        <v>20.074733796296297</v>
      </c>
      <c r="AZ63" s="482">
        <f t="shared" si="107"/>
        <v>0.35788194444444443</v>
      </c>
      <c r="BA63" s="482">
        <f t="shared" si="108"/>
        <v>16.92454861111111</v>
      </c>
      <c r="BB63" s="482">
        <f t="shared" si="109"/>
        <v>3.1228819444444444</v>
      </c>
      <c r="BC63" s="482">
        <f t="shared" si="110"/>
        <v>19.68954861111111</v>
      </c>
      <c r="BD63" s="482">
        <f t="shared" si="111"/>
        <v>0.81650462962962966</v>
      </c>
      <c r="BE63" s="482">
        <f t="shared" si="112"/>
        <v>17.383171296296297</v>
      </c>
      <c r="BF63" s="482">
        <f t="shared" si="113"/>
        <v>3.58150462962963</v>
      </c>
      <c r="BG63" s="482">
        <f t="shared" si="114"/>
        <v>20.148171296296297</v>
      </c>
    </row>
    <row r="64" spans="1:59">
      <c r="A64" s="213" t="s">
        <v>5315</v>
      </c>
      <c r="B64" s="231">
        <v>607967276</v>
      </c>
      <c r="C64" s="210" t="s">
        <v>5285</v>
      </c>
      <c r="D64" s="210">
        <v>102</v>
      </c>
      <c r="F64" s="239" t="str" cm="1">
        <f t="array" aca="1" ref="F64" ca="1">MID(met2utc(PEPSSI_Commanding[[#This Row],[MET]]),3,15)</f>
        <v>25-116/09:56:00</v>
      </c>
      <c r="G64" s="213" t="str">
        <f t="shared" si="65"/>
        <v>MAC+102</v>
      </c>
      <c r="H64" s="214">
        <f t="shared" si="66"/>
        <v>607963066</v>
      </c>
      <c r="I64" s="214">
        <f t="shared" si="67"/>
        <v>608130186</v>
      </c>
      <c r="J64" s="213">
        <f t="shared" si="68"/>
        <v>15</v>
      </c>
      <c r="K64" s="213">
        <f t="shared" si="69"/>
        <v>1</v>
      </c>
      <c r="M64" s="210">
        <f t="shared" si="70"/>
        <v>120</v>
      </c>
      <c r="N64" s="210">
        <f t="shared" si="71"/>
        <v>120</v>
      </c>
      <c r="O64" s="210">
        <f t="shared" si="72"/>
        <v>7200</v>
      </c>
      <c r="P64" s="210">
        <f t="shared" si="73"/>
        <v>1800</v>
      </c>
      <c r="Q64" s="210" t="str">
        <f t="shared" si="74"/>
        <v/>
      </c>
      <c r="R64" s="210">
        <f t="shared" si="75"/>
        <v>600</v>
      </c>
      <c r="S64" s="210" t="str">
        <f t="shared" si="76"/>
        <v>102</v>
      </c>
      <c r="U64" s="482">
        <f t="shared" si="77"/>
        <v>7.3437500000000003E-2</v>
      </c>
      <c r="V64" s="482">
        <f t="shared" si="78"/>
        <v>0.3046875</v>
      </c>
      <c r="W64" s="482">
        <f t="shared" si="79"/>
        <v>0.28444444444444444</v>
      </c>
      <c r="X64" s="482">
        <f t="shared" si="80"/>
        <v>16.566666666666666</v>
      </c>
      <c r="Y64" s="482">
        <f t="shared" si="81"/>
        <v>11.083333333333334</v>
      </c>
      <c r="Z64" s="482">
        <f t="shared" si="82"/>
        <v>0.15393518518518517</v>
      </c>
      <c r="AA64" s="482">
        <f t="shared" si="83"/>
        <v>2.7650000000000001</v>
      </c>
      <c r="AB64" s="243"/>
      <c r="AC64" s="482">
        <f t="shared" si="84"/>
        <v>16.566666666666666</v>
      </c>
      <c r="AD64" s="482">
        <f t="shared" si="85"/>
        <v>3.0696875000000001</v>
      </c>
      <c r="AE64" s="482">
        <f t="shared" si="86"/>
        <v>19.636354166666667</v>
      </c>
      <c r="AF64" s="482">
        <f t="shared" si="87"/>
        <v>0.15393518518518517</v>
      </c>
      <c r="AG64" s="482">
        <f t="shared" si="88"/>
        <v>16.720601851851853</v>
      </c>
      <c r="AH64" s="482">
        <f t="shared" si="89"/>
        <v>3.2236226851851852</v>
      </c>
      <c r="AI64" s="482">
        <f t="shared" si="90"/>
        <v>19.79028935185185</v>
      </c>
      <c r="AJ64" s="482">
        <f t="shared" si="91"/>
        <v>7.3437500000000003E-2</v>
      </c>
      <c r="AK64" s="482">
        <f t="shared" si="92"/>
        <v>16.640104166666667</v>
      </c>
      <c r="AL64" s="482">
        <f t="shared" si="93"/>
        <v>3.1431249999999999</v>
      </c>
      <c r="AM64" s="482">
        <f t="shared" si="94"/>
        <v>19.709791666666668</v>
      </c>
      <c r="AN64" s="482">
        <f t="shared" si="95"/>
        <v>0.22737268518518516</v>
      </c>
      <c r="AO64" s="482">
        <f t="shared" si="96"/>
        <v>16.79403935185185</v>
      </c>
      <c r="AP64" s="482">
        <f t="shared" si="97"/>
        <v>3.2970601851851855</v>
      </c>
      <c r="AQ64" s="482">
        <f t="shared" si="98"/>
        <v>19.863726851851851</v>
      </c>
      <c r="AR64" s="482">
        <f t="shared" si="99"/>
        <v>0.28444444444444444</v>
      </c>
      <c r="AS64" s="482">
        <f t="shared" si="100"/>
        <v>16.851111111111109</v>
      </c>
      <c r="AT64" s="482">
        <f t="shared" si="101"/>
        <v>3.3541319444444446</v>
      </c>
      <c r="AU64" s="482">
        <f t="shared" si="102"/>
        <v>19.92079861111111</v>
      </c>
      <c r="AV64" s="482">
        <f t="shared" si="103"/>
        <v>0.43837962962962962</v>
      </c>
      <c r="AW64" s="482">
        <f t="shared" si="104"/>
        <v>17.005046296296296</v>
      </c>
      <c r="AX64" s="482">
        <f t="shared" si="105"/>
        <v>3.5080671296296297</v>
      </c>
      <c r="AY64" s="482">
        <f t="shared" si="106"/>
        <v>20.074733796296297</v>
      </c>
      <c r="AZ64" s="482">
        <f t="shared" si="107"/>
        <v>0.35788194444444443</v>
      </c>
      <c r="BA64" s="482">
        <f t="shared" si="108"/>
        <v>16.92454861111111</v>
      </c>
      <c r="BB64" s="482">
        <f t="shared" si="109"/>
        <v>3.4275694444444444</v>
      </c>
      <c r="BC64" s="482">
        <f t="shared" si="110"/>
        <v>19.99423611111111</v>
      </c>
      <c r="BD64" s="482">
        <f t="shared" si="111"/>
        <v>0.51181712962962966</v>
      </c>
      <c r="BE64" s="482">
        <f t="shared" si="112"/>
        <v>17.078483796296297</v>
      </c>
      <c r="BF64" s="482">
        <f t="shared" si="113"/>
        <v>3.58150462962963</v>
      </c>
      <c r="BG64" s="482">
        <f t="shared" si="114"/>
        <v>20.148171296296297</v>
      </c>
    </row>
    <row r="65" spans="1:59">
      <c r="A65" s="213" t="s">
        <v>5314</v>
      </c>
      <c r="B65" s="231">
        <v>608130186</v>
      </c>
      <c r="C65" s="210" t="s">
        <v>5318</v>
      </c>
      <c r="F65" s="239" t="str" cm="1">
        <f t="array" aca="1" ref="F65" ca="1">MID(met2utc(PEPSSI_Commanding[[#This Row],[MET]]),3,15)</f>
        <v>25-118/07:11:10</v>
      </c>
      <c r="G65" s="213" t="str">
        <f t="shared" si="65"/>
        <v>OFF</v>
      </c>
      <c r="H65" s="214">
        <f t="shared" si="66"/>
        <v>607963066</v>
      </c>
      <c r="I65" s="214">
        <f t="shared" si="67"/>
        <v>608130186</v>
      </c>
      <c r="J65" s="213">
        <f t="shared" si="68"/>
        <v>16</v>
      </c>
      <c r="K65" s="213">
        <f t="shared" si="69"/>
        <v>0</v>
      </c>
      <c r="M65" s="210">
        <f t="shared" si="70"/>
        <v>120</v>
      </c>
      <c r="N65" s="210">
        <f t="shared" si="71"/>
        <v>120</v>
      </c>
      <c r="O65" s="210">
        <f t="shared" si="72"/>
        <v>7200</v>
      </c>
      <c r="P65" s="210">
        <f t="shared" si="73"/>
        <v>1800</v>
      </c>
      <c r="Q65" s="210" t="str">
        <f t="shared" si="74"/>
        <v/>
      </c>
      <c r="R65" s="210">
        <f t="shared" si="75"/>
        <v>600</v>
      </c>
      <c r="S65" s="210" t="str">
        <f t="shared" si="76"/>
        <v>102</v>
      </c>
      <c r="U65" s="482">
        <f t="shared" si="77"/>
        <v>7.3437500000000003E-2</v>
      </c>
      <c r="V65" s="482">
        <f t="shared" si="78"/>
        <v>0.3046875</v>
      </c>
      <c r="W65" s="482">
        <f t="shared" si="79"/>
        <v>0.28444444444444444</v>
      </c>
      <c r="X65" s="482">
        <f t="shared" si="80"/>
        <v>16.566666666666666</v>
      </c>
      <c r="Y65" s="482">
        <f t="shared" si="81"/>
        <v>11.083333333333334</v>
      </c>
      <c r="Z65" s="482">
        <f t="shared" si="82"/>
        <v>0.15393518518518517</v>
      </c>
      <c r="AA65" s="482">
        <f t="shared" si="83"/>
        <v>2.7650000000000001</v>
      </c>
      <c r="AB65" s="243"/>
      <c r="AC65" s="482">
        <f t="shared" si="84"/>
        <v>16.566666666666666</v>
      </c>
      <c r="AD65" s="482">
        <f t="shared" si="85"/>
        <v>3.0696875000000001</v>
      </c>
      <c r="AE65" s="482">
        <f t="shared" si="86"/>
        <v>19.636354166666667</v>
      </c>
      <c r="AF65" s="482">
        <f t="shared" si="87"/>
        <v>0.15393518518518517</v>
      </c>
      <c r="AG65" s="482">
        <f t="shared" si="88"/>
        <v>16.720601851851853</v>
      </c>
      <c r="AH65" s="482">
        <f t="shared" si="89"/>
        <v>3.2236226851851852</v>
      </c>
      <c r="AI65" s="482">
        <f t="shared" si="90"/>
        <v>19.79028935185185</v>
      </c>
      <c r="AJ65" s="482">
        <f t="shared" si="91"/>
        <v>7.3437500000000003E-2</v>
      </c>
      <c r="AK65" s="482">
        <f t="shared" si="92"/>
        <v>16.640104166666667</v>
      </c>
      <c r="AL65" s="482">
        <f t="shared" si="93"/>
        <v>3.1431249999999999</v>
      </c>
      <c r="AM65" s="482">
        <f t="shared" si="94"/>
        <v>19.709791666666668</v>
      </c>
      <c r="AN65" s="482">
        <f t="shared" si="95"/>
        <v>0.22737268518518516</v>
      </c>
      <c r="AO65" s="482">
        <f t="shared" si="96"/>
        <v>16.79403935185185</v>
      </c>
      <c r="AP65" s="482">
        <f t="shared" si="97"/>
        <v>3.2970601851851855</v>
      </c>
      <c r="AQ65" s="482">
        <f t="shared" si="98"/>
        <v>19.863726851851851</v>
      </c>
      <c r="AR65" s="482">
        <f t="shared" si="99"/>
        <v>0.28444444444444444</v>
      </c>
      <c r="AS65" s="482">
        <f t="shared" si="100"/>
        <v>16.851111111111109</v>
      </c>
      <c r="AT65" s="482">
        <f t="shared" si="101"/>
        <v>3.3541319444444446</v>
      </c>
      <c r="AU65" s="482">
        <f t="shared" si="102"/>
        <v>19.92079861111111</v>
      </c>
      <c r="AV65" s="482">
        <f t="shared" si="103"/>
        <v>0.43837962962962962</v>
      </c>
      <c r="AW65" s="482">
        <f t="shared" si="104"/>
        <v>17.005046296296296</v>
      </c>
      <c r="AX65" s="482">
        <f t="shared" si="105"/>
        <v>3.5080671296296297</v>
      </c>
      <c r="AY65" s="482">
        <f t="shared" si="106"/>
        <v>20.074733796296297</v>
      </c>
      <c r="AZ65" s="482">
        <f t="shared" si="107"/>
        <v>0.35788194444444443</v>
      </c>
      <c r="BA65" s="482">
        <f t="shared" si="108"/>
        <v>16.92454861111111</v>
      </c>
      <c r="BB65" s="482">
        <f t="shared" si="109"/>
        <v>3.4275694444444444</v>
      </c>
      <c r="BC65" s="482">
        <f t="shared" si="110"/>
        <v>19.99423611111111</v>
      </c>
      <c r="BD65" s="482">
        <f t="shared" si="111"/>
        <v>0.51181712962962966</v>
      </c>
      <c r="BE65" s="482">
        <f t="shared" si="112"/>
        <v>17.078483796296297</v>
      </c>
      <c r="BF65" s="482">
        <f t="shared" si="113"/>
        <v>3.58150462962963</v>
      </c>
      <c r="BG65" s="482">
        <f t="shared" si="114"/>
        <v>20.148171296296297</v>
      </c>
    </row>
    <row r="66" spans="1:59">
      <c r="A66" s="213" t="s">
        <v>5314</v>
      </c>
      <c r="B66" s="231">
        <v>608131016</v>
      </c>
      <c r="C66" s="210" t="s">
        <v>433</v>
      </c>
      <c r="F66" s="239" t="str" cm="1">
        <f t="array" aca="1" ref="F66" ca="1">MID(met2utc(PEPSSI_Commanding[[#This Row],[MET]]),3,15)</f>
        <v>25-118/07:25:00</v>
      </c>
      <c r="G66" s="213" t="str">
        <f t="shared" si="65"/>
        <v>ON</v>
      </c>
      <c r="H66" s="214">
        <f t="shared" si="66"/>
        <v>608131016</v>
      </c>
      <c r="I66" s="214">
        <f t="shared" si="67"/>
        <v>608132866</v>
      </c>
      <c r="J66" s="213">
        <f t="shared" si="68"/>
        <v>0</v>
      </c>
      <c r="K66" s="213">
        <f t="shared" si="69"/>
        <v>10</v>
      </c>
      <c r="M66" s="210" t="str">
        <f t="shared" si="70"/>
        <v/>
      </c>
      <c r="N66" s="210" t="str">
        <f t="shared" si="71"/>
        <v/>
      </c>
      <c r="O66" s="210" t="str">
        <f t="shared" si="72"/>
        <v/>
      </c>
      <c r="P66" s="210" t="str">
        <f t="shared" si="73"/>
        <v/>
      </c>
      <c r="Q66" s="210" t="str">
        <f t="shared" si="74"/>
        <v/>
      </c>
      <c r="R66" s="210" t="str">
        <f t="shared" si="75"/>
        <v/>
      </c>
      <c r="S66" s="210" t="str">
        <f t="shared" si="76"/>
        <v/>
      </c>
      <c r="U66" s="482">
        <f t="shared" si="77"/>
        <v>0</v>
      </c>
      <c r="V66" s="482">
        <f t="shared" si="78"/>
        <v>0</v>
      </c>
      <c r="W66" s="482">
        <f t="shared" si="79"/>
        <v>0</v>
      </c>
      <c r="X66" s="482">
        <f t="shared" si="80"/>
        <v>0</v>
      </c>
      <c r="Y66" s="482">
        <f t="shared" si="81"/>
        <v>0</v>
      </c>
      <c r="Z66" s="482">
        <f t="shared" si="82"/>
        <v>0</v>
      </c>
      <c r="AA66" s="482">
        <f t="shared" si="83"/>
        <v>0</v>
      </c>
      <c r="AB66" s="243"/>
      <c r="AC66" s="482">
        <f t="shared" si="84"/>
        <v>0</v>
      </c>
      <c r="AD66" s="482">
        <f t="shared" si="85"/>
        <v>0</v>
      </c>
      <c r="AE66" s="482">
        <f t="shared" si="86"/>
        <v>0</v>
      </c>
      <c r="AF66" s="482">
        <f t="shared" si="87"/>
        <v>0</v>
      </c>
      <c r="AG66" s="482">
        <f t="shared" si="88"/>
        <v>0</v>
      </c>
      <c r="AH66" s="482">
        <f t="shared" si="89"/>
        <v>0</v>
      </c>
      <c r="AI66" s="482">
        <f t="shared" si="90"/>
        <v>0</v>
      </c>
      <c r="AJ66" s="482">
        <f t="shared" si="91"/>
        <v>0</v>
      </c>
      <c r="AK66" s="482">
        <f t="shared" si="92"/>
        <v>0</v>
      </c>
      <c r="AL66" s="482">
        <f t="shared" si="93"/>
        <v>0</v>
      </c>
      <c r="AM66" s="482">
        <f t="shared" si="94"/>
        <v>0</v>
      </c>
      <c r="AN66" s="482">
        <f t="shared" si="95"/>
        <v>0</v>
      </c>
      <c r="AO66" s="482">
        <f t="shared" si="96"/>
        <v>0</v>
      </c>
      <c r="AP66" s="482">
        <f t="shared" si="97"/>
        <v>0</v>
      </c>
      <c r="AQ66" s="482">
        <f t="shared" si="98"/>
        <v>0</v>
      </c>
      <c r="AR66" s="482">
        <f t="shared" si="99"/>
        <v>0</v>
      </c>
      <c r="AS66" s="482">
        <f t="shared" si="100"/>
        <v>0</v>
      </c>
      <c r="AT66" s="482">
        <f t="shared" si="101"/>
        <v>0</v>
      </c>
      <c r="AU66" s="482">
        <f t="shared" si="102"/>
        <v>0</v>
      </c>
      <c r="AV66" s="482">
        <f t="shared" si="103"/>
        <v>0</v>
      </c>
      <c r="AW66" s="482">
        <f t="shared" si="104"/>
        <v>0</v>
      </c>
      <c r="AX66" s="482">
        <f t="shared" si="105"/>
        <v>0</v>
      </c>
      <c r="AY66" s="482">
        <f t="shared" si="106"/>
        <v>0</v>
      </c>
      <c r="AZ66" s="482">
        <f t="shared" si="107"/>
        <v>0</v>
      </c>
      <c r="BA66" s="482">
        <f t="shared" si="108"/>
        <v>0</v>
      </c>
      <c r="BB66" s="482">
        <f t="shared" si="109"/>
        <v>0</v>
      </c>
      <c r="BC66" s="482">
        <f t="shared" si="110"/>
        <v>0</v>
      </c>
      <c r="BD66" s="482">
        <f t="shared" si="111"/>
        <v>0</v>
      </c>
      <c r="BE66" s="482">
        <f t="shared" si="112"/>
        <v>0</v>
      </c>
      <c r="BF66" s="482">
        <f t="shared" si="113"/>
        <v>0</v>
      </c>
      <c r="BG66" s="482">
        <f t="shared" si="114"/>
        <v>0</v>
      </c>
    </row>
    <row r="67" spans="1:59">
      <c r="A67" s="213" t="s">
        <v>5315</v>
      </c>
      <c r="B67" s="231">
        <v>608131061</v>
      </c>
      <c r="C67" s="210" t="s">
        <v>5285</v>
      </c>
      <c r="D67" s="210">
        <v>10</v>
      </c>
      <c r="F67" s="239" t="str" cm="1">
        <f t="array" aca="1" ref="F67" ca="1">MID(met2utc(PEPSSI_Commanding[[#This Row],[MET]]),3,15)</f>
        <v>25-118/07:25:45</v>
      </c>
      <c r="G67" s="213" t="str">
        <f t="shared" si="65"/>
        <v>MAC+10</v>
      </c>
      <c r="H67" s="214">
        <f t="shared" si="66"/>
        <v>608131016</v>
      </c>
      <c r="I67" s="214">
        <f t="shared" si="67"/>
        <v>608132866</v>
      </c>
      <c r="J67" s="213">
        <f t="shared" si="68"/>
        <v>1</v>
      </c>
      <c r="K67" s="213">
        <f t="shared" si="69"/>
        <v>9</v>
      </c>
      <c r="M67" s="210" t="str">
        <f t="shared" si="70"/>
        <v/>
      </c>
      <c r="N67" s="210" t="str">
        <f t="shared" si="71"/>
        <v/>
      </c>
      <c r="O67" s="210" t="str">
        <f t="shared" si="72"/>
        <v/>
      </c>
      <c r="P67" s="210" t="str">
        <f t="shared" si="73"/>
        <v/>
      </c>
      <c r="Q67" s="210" t="str">
        <f t="shared" si="74"/>
        <v/>
      </c>
      <c r="R67" s="210" t="str">
        <f t="shared" si="75"/>
        <v/>
      </c>
      <c r="S67" s="210" t="str">
        <f t="shared" si="76"/>
        <v/>
      </c>
      <c r="U67" s="482">
        <f t="shared" si="77"/>
        <v>0</v>
      </c>
      <c r="V67" s="482">
        <f t="shared" si="78"/>
        <v>0</v>
      </c>
      <c r="W67" s="482">
        <f t="shared" si="79"/>
        <v>0</v>
      </c>
      <c r="X67" s="482">
        <f t="shared" si="80"/>
        <v>0</v>
      </c>
      <c r="Y67" s="482">
        <f t="shared" si="81"/>
        <v>0</v>
      </c>
      <c r="Z67" s="482">
        <f t="shared" si="82"/>
        <v>0</v>
      </c>
      <c r="AA67" s="482">
        <f t="shared" si="83"/>
        <v>0</v>
      </c>
      <c r="AB67" s="243"/>
      <c r="AC67" s="482">
        <f t="shared" si="84"/>
        <v>0</v>
      </c>
      <c r="AD67" s="482">
        <f t="shared" si="85"/>
        <v>0</v>
      </c>
      <c r="AE67" s="482">
        <f t="shared" si="86"/>
        <v>0</v>
      </c>
      <c r="AF67" s="482">
        <f t="shared" si="87"/>
        <v>0</v>
      </c>
      <c r="AG67" s="482">
        <f t="shared" si="88"/>
        <v>0</v>
      </c>
      <c r="AH67" s="482">
        <f t="shared" si="89"/>
        <v>0</v>
      </c>
      <c r="AI67" s="482">
        <f t="shared" si="90"/>
        <v>0</v>
      </c>
      <c r="AJ67" s="482">
        <f t="shared" si="91"/>
        <v>0</v>
      </c>
      <c r="AK67" s="482">
        <f t="shared" si="92"/>
        <v>0</v>
      </c>
      <c r="AL67" s="482">
        <f t="shared" si="93"/>
        <v>0</v>
      </c>
      <c r="AM67" s="482">
        <f t="shared" si="94"/>
        <v>0</v>
      </c>
      <c r="AN67" s="482">
        <f t="shared" si="95"/>
        <v>0</v>
      </c>
      <c r="AO67" s="482">
        <f t="shared" si="96"/>
        <v>0</v>
      </c>
      <c r="AP67" s="482">
        <f t="shared" si="97"/>
        <v>0</v>
      </c>
      <c r="AQ67" s="482">
        <f t="shared" si="98"/>
        <v>0</v>
      </c>
      <c r="AR67" s="482">
        <f t="shared" si="99"/>
        <v>0</v>
      </c>
      <c r="AS67" s="482">
        <f t="shared" si="100"/>
        <v>0</v>
      </c>
      <c r="AT67" s="482">
        <f t="shared" si="101"/>
        <v>0</v>
      </c>
      <c r="AU67" s="482">
        <f t="shared" si="102"/>
        <v>0</v>
      </c>
      <c r="AV67" s="482">
        <f t="shared" si="103"/>
        <v>0</v>
      </c>
      <c r="AW67" s="482">
        <f t="shared" si="104"/>
        <v>0</v>
      </c>
      <c r="AX67" s="482">
        <f t="shared" si="105"/>
        <v>0</v>
      </c>
      <c r="AY67" s="482">
        <f t="shared" si="106"/>
        <v>0</v>
      </c>
      <c r="AZ67" s="482">
        <f t="shared" si="107"/>
        <v>0</v>
      </c>
      <c r="BA67" s="482">
        <f t="shared" si="108"/>
        <v>0</v>
      </c>
      <c r="BB67" s="482">
        <f t="shared" si="109"/>
        <v>0</v>
      </c>
      <c r="BC67" s="482">
        <f t="shared" si="110"/>
        <v>0</v>
      </c>
      <c r="BD67" s="482">
        <f t="shared" si="111"/>
        <v>0</v>
      </c>
      <c r="BE67" s="482">
        <f t="shared" si="112"/>
        <v>0</v>
      </c>
      <c r="BF67" s="482">
        <f t="shared" si="113"/>
        <v>0</v>
      </c>
      <c r="BG67" s="482">
        <f t="shared" si="114"/>
        <v>0</v>
      </c>
    </row>
    <row r="68" spans="1:59">
      <c r="A68" s="213" t="s">
        <v>5316</v>
      </c>
      <c r="B68" s="231">
        <v>608131061</v>
      </c>
      <c r="C68" s="210" t="s">
        <v>61</v>
      </c>
      <c r="D68" s="210">
        <v>10</v>
      </c>
      <c r="F68" s="239" t="str" cm="1">
        <f t="array" aca="1" ref="F68" ca="1">MID(met2utc(PEPSSI_Commanding[[#This Row],[MET]]),3,15)</f>
        <v>25-118/07:25:45</v>
      </c>
      <c r="G68" s="213" t="str">
        <f t="shared" si="65"/>
        <v>N2+10</v>
      </c>
      <c r="H68" s="214">
        <f t="shared" si="66"/>
        <v>608131016</v>
      </c>
      <c r="I68" s="214">
        <f t="shared" si="67"/>
        <v>608132866</v>
      </c>
      <c r="J68" s="213">
        <f t="shared" si="68"/>
        <v>2</v>
      </c>
      <c r="K68" s="213">
        <f t="shared" si="69"/>
        <v>8</v>
      </c>
      <c r="M68" s="210" t="str">
        <f t="shared" si="70"/>
        <v/>
      </c>
      <c r="N68" s="210">
        <f t="shared" si="71"/>
        <v>10</v>
      </c>
      <c r="O68" s="210" t="str">
        <f t="shared" si="72"/>
        <v/>
      </c>
      <c r="P68" s="210" t="str">
        <f t="shared" si="73"/>
        <v/>
      </c>
      <c r="Q68" s="210" t="str">
        <f t="shared" si="74"/>
        <v/>
      </c>
      <c r="R68" s="210" t="str">
        <f t="shared" si="75"/>
        <v/>
      </c>
      <c r="S68" s="210" t="str">
        <f t="shared" si="76"/>
        <v/>
      </c>
      <c r="U68" s="482">
        <f t="shared" si="77"/>
        <v>0</v>
      </c>
      <c r="V68" s="482">
        <f t="shared" si="78"/>
        <v>0</v>
      </c>
      <c r="W68" s="482">
        <f t="shared" si="79"/>
        <v>0</v>
      </c>
      <c r="X68" s="482">
        <f t="shared" si="80"/>
        <v>0</v>
      </c>
      <c r="Y68" s="482">
        <f t="shared" si="81"/>
        <v>133</v>
      </c>
      <c r="Z68" s="482">
        <f t="shared" si="82"/>
        <v>133</v>
      </c>
      <c r="AA68" s="482">
        <f t="shared" si="83"/>
        <v>0</v>
      </c>
      <c r="AB68" s="243"/>
      <c r="AC68" s="482">
        <f t="shared" si="84"/>
        <v>0</v>
      </c>
      <c r="AD68" s="482">
        <f t="shared" si="85"/>
        <v>0</v>
      </c>
      <c r="AE68" s="482">
        <f t="shared" si="86"/>
        <v>0</v>
      </c>
      <c r="AF68" s="482">
        <f t="shared" si="87"/>
        <v>133</v>
      </c>
      <c r="AG68" s="482">
        <f t="shared" si="88"/>
        <v>133</v>
      </c>
      <c r="AH68" s="482">
        <f t="shared" si="89"/>
        <v>133</v>
      </c>
      <c r="AI68" s="482">
        <f t="shared" si="90"/>
        <v>133</v>
      </c>
      <c r="AJ68" s="482">
        <f t="shared" si="91"/>
        <v>0</v>
      </c>
      <c r="AK68" s="482">
        <f t="shared" si="92"/>
        <v>0</v>
      </c>
      <c r="AL68" s="482">
        <f t="shared" si="93"/>
        <v>0</v>
      </c>
      <c r="AM68" s="482">
        <f t="shared" si="94"/>
        <v>0</v>
      </c>
      <c r="AN68" s="482">
        <f t="shared" si="95"/>
        <v>133</v>
      </c>
      <c r="AO68" s="482">
        <f t="shared" si="96"/>
        <v>133</v>
      </c>
      <c r="AP68" s="482">
        <f t="shared" si="97"/>
        <v>133</v>
      </c>
      <c r="AQ68" s="482">
        <f t="shared" si="98"/>
        <v>133</v>
      </c>
      <c r="AR68" s="482">
        <f t="shared" si="99"/>
        <v>0</v>
      </c>
      <c r="AS68" s="482">
        <f t="shared" si="100"/>
        <v>0</v>
      </c>
      <c r="AT68" s="482">
        <f t="shared" si="101"/>
        <v>0</v>
      </c>
      <c r="AU68" s="482">
        <f t="shared" si="102"/>
        <v>0</v>
      </c>
      <c r="AV68" s="482">
        <f t="shared" si="103"/>
        <v>133</v>
      </c>
      <c r="AW68" s="482">
        <f t="shared" si="104"/>
        <v>133</v>
      </c>
      <c r="AX68" s="482">
        <f t="shared" si="105"/>
        <v>133</v>
      </c>
      <c r="AY68" s="482">
        <f t="shared" si="106"/>
        <v>133</v>
      </c>
      <c r="AZ68" s="482">
        <f t="shared" si="107"/>
        <v>0</v>
      </c>
      <c r="BA68" s="482">
        <f t="shared" si="108"/>
        <v>0</v>
      </c>
      <c r="BB68" s="482">
        <f t="shared" si="109"/>
        <v>0</v>
      </c>
      <c r="BC68" s="482">
        <f t="shared" si="110"/>
        <v>0</v>
      </c>
      <c r="BD68" s="482">
        <f t="shared" si="111"/>
        <v>133</v>
      </c>
      <c r="BE68" s="482">
        <f t="shared" si="112"/>
        <v>133</v>
      </c>
      <c r="BF68" s="482">
        <f t="shared" si="113"/>
        <v>133</v>
      </c>
      <c r="BG68" s="482">
        <f t="shared" si="114"/>
        <v>133</v>
      </c>
    </row>
    <row r="69" spans="1:59">
      <c r="A69" s="213" t="s">
        <v>5316</v>
      </c>
      <c r="B69" s="231">
        <v>608131062</v>
      </c>
      <c r="C69" s="210" t="s">
        <v>58</v>
      </c>
      <c r="D69" s="210">
        <v>300</v>
      </c>
      <c r="F69" s="239" t="str" cm="1">
        <f t="array" aca="1" ref="F69" ca="1">MID(met2utc(PEPSSI_Commanding[[#This Row],[MET]]),3,15)</f>
        <v>25-118/07:25:46</v>
      </c>
      <c r="G69" s="213" t="str">
        <f t="shared" si="65"/>
        <v>N3+300</v>
      </c>
      <c r="H69" s="214">
        <f t="shared" si="66"/>
        <v>608131016</v>
      </c>
      <c r="I69" s="214">
        <f t="shared" si="67"/>
        <v>608132866</v>
      </c>
      <c r="J69" s="213">
        <f t="shared" si="68"/>
        <v>3</v>
      </c>
      <c r="K69" s="213">
        <f t="shared" si="69"/>
        <v>7</v>
      </c>
      <c r="M69" s="210" t="str">
        <f t="shared" si="70"/>
        <v/>
      </c>
      <c r="N69" s="210">
        <f t="shared" si="71"/>
        <v>10</v>
      </c>
      <c r="O69" s="210">
        <f t="shared" si="72"/>
        <v>300</v>
      </c>
      <c r="P69" s="210" t="str">
        <f t="shared" si="73"/>
        <v/>
      </c>
      <c r="Q69" s="210" t="str">
        <f t="shared" si="74"/>
        <v/>
      </c>
      <c r="R69" s="210" t="str">
        <f t="shared" si="75"/>
        <v/>
      </c>
      <c r="S69" s="210" t="str">
        <f t="shared" si="76"/>
        <v/>
      </c>
      <c r="U69" s="482">
        <f t="shared" si="77"/>
        <v>0</v>
      </c>
      <c r="V69" s="482">
        <f t="shared" si="78"/>
        <v>0</v>
      </c>
      <c r="W69" s="482">
        <f t="shared" si="79"/>
        <v>0</v>
      </c>
      <c r="X69" s="482">
        <f t="shared" si="80"/>
        <v>0</v>
      </c>
      <c r="Y69" s="482">
        <f t="shared" si="81"/>
        <v>133</v>
      </c>
      <c r="Z69" s="482">
        <f t="shared" si="82"/>
        <v>133</v>
      </c>
      <c r="AA69" s="482">
        <f t="shared" si="83"/>
        <v>66.36</v>
      </c>
      <c r="AB69" s="243"/>
      <c r="AC69" s="482">
        <f t="shared" si="84"/>
        <v>0</v>
      </c>
      <c r="AD69" s="482">
        <f t="shared" si="85"/>
        <v>66.36</v>
      </c>
      <c r="AE69" s="482">
        <f t="shared" si="86"/>
        <v>66.36</v>
      </c>
      <c r="AF69" s="482">
        <f t="shared" si="87"/>
        <v>133</v>
      </c>
      <c r="AG69" s="482">
        <f t="shared" si="88"/>
        <v>133</v>
      </c>
      <c r="AH69" s="482">
        <f t="shared" si="89"/>
        <v>199.36</v>
      </c>
      <c r="AI69" s="482">
        <f t="shared" si="90"/>
        <v>199.36</v>
      </c>
      <c r="AJ69" s="482">
        <f t="shared" si="91"/>
        <v>0</v>
      </c>
      <c r="AK69" s="482">
        <f t="shared" si="92"/>
        <v>0</v>
      </c>
      <c r="AL69" s="482">
        <f t="shared" si="93"/>
        <v>66.36</v>
      </c>
      <c r="AM69" s="482">
        <f t="shared" si="94"/>
        <v>66.36</v>
      </c>
      <c r="AN69" s="482">
        <f t="shared" si="95"/>
        <v>133</v>
      </c>
      <c r="AO69" s="482">
        <f t="shared" si="96"/>
        <v>133</v>
      </c>
      <c r="AP69" s="482">
        <f t="shared" si="97"/>
        <v>199.36</v>
      </c>
      <c r="AQ69" s="482">
        <f t="shared" si="98"/>
        <v>199.36</v>
      </c>
      <c r="AR69" s="482">
        <f t="shared" si="99"/>
        <v>0</v>
      </c>
      <c r="AS69" s="482">
        <f t="shared" si="100"/>
        <v>0</v>
      </c>
      <c r="AT69" s="482">
        <f t="shared" si="101"/>
        <v>66.36</v>
      </c>
      <c r="AU69" s="482">
        <f t="shared" si="102"/>
        <v>66.36</v>
      </c>
      <c r="AV69" s="482">
        <f t="shared" si="103"/>
        <v>133</v>
      </c>
      <c r="AW69" s="482">
        <f t="shared" si="104"/>
        <v>133</v>
      </c>
      <c r="AX69" s="482">
        <f t="shared" si="105"/>
        <v>199.36</v>
      </c>
      <c r="AY69" s="482">
        <f t="shared" si="106"/>
        <v>199.36</v>
      </c>
      <c r="AZ69" s="482">
        <f t="shared" si="107"/>
        <v>0</v>
      </c>
      <c r="BA69" s="482">
        <f t="shared" si="108"/>
        <v>0</v>
      </c>
      <c r="BB69" s="482">
        <f t="shared" si="109"/>
        <v>66.36</v>
      </c>
      <c r="BC69" s="482">
        <f t="shared" si="110"/>
        <v>66.36</v>
      </c>
      <c r="BD69" s="482">
        <f t="shared" si="111"/>
        <v>133</v>
      </c>
      <c r="BE69" s="482">
        <f t="shared" si="112"/>
        <v>133</v>
      </c>
      <c r="BF69" s="482">
        <f t="shared" si="113"/>
        <v>199.36</v>
      </c>
      <c r="BG69" s="482">
        <f t="shared" si="114"/>
        <v>199.36</v>
      </c>
    </row>
    <row r="70" spans="1:59">
      <c r="A70" s="213" t="s">
        <v>5316</v>
      </c>
      <c r="B70" s="231">
        <v>608131063</v>
      </c>
      <c r="C70" s="210" t="s">
        <v>1</v>
      </c>
      <c r="D70" s="210">
        <v>10</v>
      </c>
      <c r="F70" s="239" t="str" cm="1">
        <f t="array" aca="1" ref="F70" ca="1">MID(met2utc(PEPSSI_Commanding[[#This Row],[MET]]),3,15)</f>
        <v>25-118/07:25:47</v>
      </c>
      <c r="G70" s="213" t="str">
        <f t="shared" si="65"/>
        <v>N1+10</v>
      </c>
      <c r="H70" s="214">
        <f t="shared" si="66"/>
        <v>608131016</v>
      </c>
      <c r="I70" s="214">
        <f t="shared" si="67"/>
        <v>608132866</v>
      </c>
      <c r="J70" s="213">
        <f t="shared" si="68"/>
        <v>4</v>
      </c>
      <c r="K70" s="213">
        <f t="shared" si="69"/>
        <v>6</v>
      </c>
      <c r="M70" s="210">
        <f t="shared" si="70"/>
        <v>10</v>
      </c>
      <c r="N70" s="210">
        <f t="shared" si="71"/>
        <v>10</v>
      </c>
      <c r="O70" s="210">
        <f t="shared" si="72"/>
        <v>300</v>
      </c>
      <c r="P70" s="210" t="str">
        <f t="shared" si="73"/>
        <v/>
      </c>
      <c r="Q70" s="210" t="str">
        <f t="shared" si="74"/>
        <v/>
      </c>
      <c r="R70" s="210" t="str">
        <f t="shared" si="75"/>
        <v/>
      </c>
      <c r="S70" s="210" t="str">
        <f t="shared" si="76"/>
        <v/>
      </c>
      <c r="U70" s="482">
        <f t="shared" si="77"/>
        <v>0</v>
      </c>
      <c r="V70" s="482">
        <f t="shared" si="78"/>
        <v>0</v>
      </c>
      <c r="W70" s="482">
        <f t="shared" si="79"/>
        <v>0</v>
      </c>
      <c r="X70" s="482">
        <f t="shared" si="80"/>
        <v>198.8</v>
      </c>
      <c r="Y70" s="482">
        <f t="shared" si="81"/>
        <v>133</v>
      </c>
      <c r="Z70" s="482">
        <f t="shared" si="82"/>
        <v>133</v>
      </c>
      <c r="AA70" s="482">
        <f t="shared" si="83"/>
        <v>66.36</v>
      </c>
      <c r="AB70" s="243"/>
      <c r="AC70" s="482">
        <f t="shared" si="84"/>
        <v>198.8</v>
      </c>
      <c r="AD70" s="482">
        <f t="shared" si="85"/>
        <v>66.36</v>
      </c>
      <c r="AE70" s="482">
        <f t="shared" si="86"/>
        <v>265.16000000000003</v>
      </c>
      <c r="AF70" s="482">
        <f t="shared" si="87"/>
        <v>133</v>
      </c>
      <c r="AG70" s="482">
        <f t="shared" si="88"/>
        <v>331.8</v>
      </c>
      <c r="AH70" s="482">
        <f t="shared" si="89"/>
        <v>199.36</v>
      </c>
      <c r="AI70" s="482">
        <f t="shared" si="90"/>
        <v>398.16</v>
      </c>
      <c r="AJ70" s="482">
        <f t="shared" si="91"/>
        <v>0</v>
      </c>
      <c r="AK70" s="482">
        <f t="shared" si="92"/>
        <v>198.8</v>
      </c>
      <c r="AL70" s="482">
        <f t="shared" si="93"/>
        <v>66.36</v>
      </c>
      <c r="AM70" s="482">
        <f t="shared" si="94"/>
        <v>265.16000000000003</v>
      </c>
      <c r="AN70" s="482">
        <f t="shared" si="95"/>
        <v>133</v>
      </c>
      <c r="AO70" s="482">
        <f t="shared" si="96"/>
        <v>331.8</v>
      </c>
      <c r="AP70" s="482">
        <f t="shared" si="97"/>
        <v>199.36</v>
      </c>
      <c r="AQ70" s="482">
        <f t="shared" si="98"/>
        <v>398.16</v>
      </c>
      <c r="AR70" s="482">
        <f t="shared" si="99"/>
        <v>0</v>
      </c>
      <c r="AS70" s="482">
        <f t="shared" si="100"/>
        <v>198.8</v>
      </c>
      <c r="AT70" s="482">
        <f t="shared" si="101"/>
        <v>66.36</v>
      </c>
      <c r="AU70" s="482">
        <f t="shared" si="102"/>
        <v>265.16000000000003</v>
      </c>
      <c r="AV70" s="482">
        <f t="shared" si="103"/>
        <v>133</v>
      </c>
      <c r="AW70" s="482">
        <f t="shared" si="104"/>
        <v>331.8</v>
      </c>
      <c r="AX70" s="482">
        <f t="shared" si="105"/>
        <v>199.36</v>
      </c>
      <c r="AY70" s="482">
        <f t="shared" si="106"/>
        <v>398.16</v>
      </c>
      <c r="AZ70" s="482">
        <f t="shared" si="107"/>
        <v>0</v>
      </c>
      <c r="BA70" s="482">
        <f t="shared" si="108"/>
        <v>198.8</v>
      </c>
      <c r="BB70" s="482">
        <f t="shared" si="109"/>
        <v>66.36</v>
      </c>
      <c r="BC70" s="482">
        <f t="shared" si="110"/>
        <v>265.16000000000003</v>
      </c>
      <c r="BD70" s="482">
        <f t="shared" si="111"/>
        <v>133</v>
      </c>
      <c r="BE70" s="482">
        <f t="shared" si="112"/>
        <v>331.8</v>
      </c>
      <c r="BF70" s="482">
        <f t="shared" si="113"/>
        <v>199.36</v>
      </c>
      <c r="BG70" s="482">
        <f t="shared" si="114"/>
        <v>398.16</v>
      </c>
    </row>
    <row r="71" spans="1:59">
      <c r="A71" s="213" t="s">
        <v>5317</v>
      </c>
      <c r="B71" s="231">
        <v>608131064</v>
      </c>
      <c r="C71" s="210" t="s">
        <v>5284</v>
      </c>
      <c r="D71" s="210">
        <v>1</v>
      </c>
      <c r="F71" s="239" t="str" cm="1">
        <f t="array" aca="1" ref="F71" ca="1">MID(met2utc(PEPSSI_Commanding[[#This Row],[MET]]),3,15)</f>
        <v>25-118/07:25:48</v>
      </c>
      <c r="G71" s="213" t="str">
        <f t="shared" si="65"/>
        <v>STAT+1</v>
      </c>
      <c r="H71" s="214">
        <f t="shared" si="66"/>
        <v>608131016</v>
      </c>
      <c r="I71" s="214">
        <f t="shared" si="67"/>
        <v>608132866</v>
      </c>
      <c r="J71" s="213">
        <f t="shared" si="68"/>
        <v>5</v>
      </c>
      <c r="K71" s="213">
        <f t="shared" si="69"/>
        <v>5</v>
      </c>
      <c r="M71" s="210">
        <f t="shared" si="70"/>
        <v>10</v>
      </c>
      <c r="N71" s="210">
        <f t="shared" si="71"/>
        <v>10</v>
      </c>
      <c r="O71" s="210">
        <f t="shared" si="72"/>
        <v>300</v>
      </c>
      <c r="P71" s="210">
        <f t="shared" si="73"/>
        <v>1</v>
      </c>
      <c r="Q71" s="210" t="str">
        <f t="shared" si="74"/>
        <v/>
      </c>
      <c r="R71" s="210" t="str">
        <f t="shared" si="75"/>
        <v/>
      </c>
      <c r="S71" s="210" t="str">
        <f t="shared" si="76"/>
        <v/>
      </c>
      <c r="U71" s="482">
        <f t="shared" si="77"/>
        <v>0</v>
      </c>
      <c r="V71" s="482">
        <f t="shared" si="78"/>
        <v>0</v>
      </c>
      <c r="W71" s="482">
        <f t="shared" si="79"/>
        <v>512</v>
      </c>
      <c r="X71" s="482">
        <f t="shared" si="80"/>
        <v>198.8</v>
      </c>
      <c r="Y71" s="482">
        <f t="shared" si="81"/>
        <v>133</v>
      </c>
      <c r="Z71" s="482">
        <f t="shared" si="82"/>
        <v>133</v>
      </c>
      <c r="AA71" s="482">
        <f t="shared" si="83"/>
        <v>66.36</v>
      </c>
      <c r="AB71" s="243"/>
      <c r="AC71" s="482">
        <f t="shared" si="84"/>
        <v>198.8</v>
      </c>
      <c r="AD71" s="482">
        <f t="shared" si="85"/>
        <v>66.36</v>
      </c>
      <c r="AE71" s="482">
        <f t="shared" si="86"/>
        <v>265.16000000000003</v>
      </c>
      <c r="AF71" s="482">
        <f t="shared" si="87"/>
        <v>133</v>
      </c>
      <c r="AG71" s="482">
        <f t="shared" si="88"/>
        <v>331.8</v>
      </c>
      <c r="AH71" s="482">
        <f t="shared" si="89"/>
        <v>199.36</v>
      </c>
      <c r="AI71" s="482">
        <f t="shared" si="90"/>
        <v>398.16</v>
      </c>
      <c r="AJ71" s="482">
        <f t="shared" si="91"/>
        <v>0</v>
      </c>
      <c r="AK71" s="482">
        <f t="shared" si="92"/>
        <v>198.8</v>
      </c>
      <c r="AL71" s="482">
        <f t="shared" si="93"/>
        <v>66.36</v>
      </c>
      <c r="AM71" s="482">
        <f t="shared" si="94"/>
        <v>265.16000000000003</v>
      </c>
      <c r="AN71" s="482">
        <f t="shared" si="95"/>
        <v>133</v>
      </c>
      <c r="AO71" s="482">
        <f t="shared" si="96"/>
        <v>331.8</v>
      </c>
      <c r="AP71" s="482">
        <f t="shared" si="97"/>
        <v>199.36</v>
      </c>
      <c r="AQ71" s="482">
        <f t="shared" si="98"/>
        <v>398.16</v>
      </c>
      <c r="AR71" s="482">
        <f t="shared" si="99"/>
        <v>512</v>
      </c>
      <c r="AS71" s="482">
        <f t="shared" si="100"/>
        <v>710.8</v>
      </c>
      <c r="AT71" s="482">
        <f t="shared" si="101"/>
        <v>578.36</v>
      </c>
      <c r="AU71" s="482">
        <f t="shared" si="102"/>
        <v>777.16000000000008</v>
      </c>
      <c r="AV71" s="482">
        <f t="shared" si="103"/>
        <v>645</v>
      </c>
      <c r="AW71" s="482">
        <f t="shared" si="104"/>
        <v>843.8</v>
      </c>
      <c r="AX71" s="482">
        <f t="shared" si="105"/>
        <v>711.36</v>
      </c>
      <c r="AY71" s="482">
        <f t="shared" si="106"/>
        <v>910.16000000000008</v>
      </c>
      <c r="AZ71" s="482">
        <f t="shared" si="107"/>
        <v>512</v>
      </c>
      <c r="BA71" s="482">
        <f t="shared" si="108"/>
        <v>710.8</v>
      </c>
      <c r="BB71" s="482">
        <f t="shared" si="109"/>
        <v>578.36</v>
      </c>
      <c r="BC71" s="482">
        <f t="shared" si="110"/>
        <v>777.16000000000008</v>
      </c>
      <c r="BD71" s="482">
        <f t="shared" si="111"/>
        <v>645</v>
      </c>
      <c r="BE71" s="482">
        <f t="shared" si="112"/>
        <v>843.8</v>
      </c>
      <c r="BF71" s="482">
        <f t="shared" si="113"/>
        <v>711.36</v>
      </c>
      <c r="BG71" s="482">
        <f t="shared" si="114"/>
        <v>910.16000000000008</v>
      </c>
    </row>
    <row r="72" spans="1:59">
      <c r="A72" s="213" t="s">
        <v>5316</v>
      </c>
      <c r="B72" s="231">
        <v>608132547</v>
      </c>
      <c r="C72" s="210" t="s">
        <v>61</v>
      </c>
      <c r="D72" s="210">
        <v>40</v>
      </c>
      <c r="F72" s="239" t="str" cm="1">
        <f t="array" aca="1" ref="F72" ca="1">MID(met2utc(PEPSSI_Commanding[[#This Row],[MET]]),3,15)</f>
        <v>25-118/07:50:31</v>
      </c>
      <c r="G72" s="213" t="str">
        <f t="shared" si="65"/>
        <v>N2+40</v>
      </c>
      <c r="H72" s="214">
        <f t="shared" si="66"/>
        <v>608131016</v>
      </c>
      <c r="I72" s="214">
        <f t="shared" si="67"/>
        <v>608132866</v>
      </c>
      <c r="J72" s="213">
        <f t="shared" si="68"/>
        <v>6</v>
      </c>
      <c r="K72" s="213">
        <f t="shared" si="69"/>
        <v>4</v>
      </c>
      <c r="M72" s="210">
        <f t="shared" si="70"/>
        <v>10</v>
      </c>
      <c r="N72" s="210">
        <f t="shared" si="71"/>
        <v>40</v>
      </c>
      <c r="O72" s="210">
        <f t="shared" si="72"/>
        <v>300</v>
      </c>
      <c r="P72" s="210">
        <f t="shared" si="73"/>
        <v>1</v>
      </c>
      <c r="Q72" s="210" t="str">
        <f t="shared" si="74"/>
        <v/>
      </c>
      <c r="R72" s="210" t="str">
        <f t="shared" si="75"/>
        <v/>
      </c>
      <c r="S72" s="210" t="str">
        <f t="shared" si="76"/>
        <v/>
      </c>
      <c r="U72" s="482">
        <f t="shared" si="77"/>
        <v>0</v>
      </c>
      <c r="V72" s="482">
        <f t="shared" si="78"/>
        <v>0</v>
      </c>
      <c r="W72" s="482">
        <f t="shared" si="79"/>
        <v>512</v>
      </c>
      <c r="X72" s="482">
        <f t="shared" si="80"/>
        <v>198.8</v>
      </c>
      <c r="Y72" s="482">
        <f t="shared" si="81"/>
        <v>33.25</v>
      </c>
      <c r="Z72" s="482">
        <f t="shared" si="82"/>
        <v>33.25</v>
      </c>
      <c r="AA72" s="482">
        <f t="shared" si="83"/>
        <v>66.36</v>
      </c>
      <c r="AB72" s="243"/>
      <c r="AC72" s="482">
        <f t="shared" si="84"/>
        <v>198.8</v>
      </c>
      <c r="AD72" s="482">
        <f t="shared" si="85"/>
        <v>66.36</v>
      </c>
      <c r="AE72" s="482">
        <f t="shared" si="86"/>
        <v>265.16000000000003</v>
      </c>
      <c r="AF72" s="482">
        <f t="shared" si="87"/>
        <v>33.25</v>
      </c>
      <c r="AG72" s="482">
        <f t="shared" si="88"/>
        <v>232.05</v>
      </c>
      <c r="AH72" s="482">
        <f t="shared" si="89"/>
        <v>99.61</v>
      </c>
      <c r="AI72" s="482">
        <f t="shared" si="90"/>
        <v>298.41000000000003</v>
      </c>
      <c r="AJ72" s="482">
        <f t="shared" si="91"/>
        <v>0</v>
      </c>
      <c r="AK72" s="482">
        <f t="shared" si="92"/>
        <v>198.8</v>
      </c>
      <c r="AL72" s="482">
        <f t="shared" si="93"/>
        <v>66.36</v>
      </c>
      <c r="AM72" s="482">
        <f t="shared" si="94"/>
        <v>265.16000000000003</v>
      </c>
      <c r="AN72" s="482">
        <f t="shared" si="95"/>
        <v>33.25</v>
      </c>
      <c r="AO72" s="482">
        <f t="shared" si="96"/>
        <v>232.05</v>
      </c>
      <c r="AP72" s="482">
        <f t="shared" si="97"/>
        <v>99.61</v>
      </c>
      <c r="AQ72" s="482">
        <f t="shared" si="98"/>
        <v>298.41000000000003</v>
      </c>
      <c r="AR72" s="482">
        <f t="shared" si="99"/>
        <v>512</v>
      </c>
      <c r="AS72" s="482">
        <f t="shared" si="100"/>
        <v>710.8</v>
      </c>
      <c r="AT72" s="482">
        <f t="shared" si="101"/>
        <v>578.36</v>
      </c>
      <c r="AU72" s="482">
        <f t="shared" si="102"/>
        <v>777.16000000000008</v>
      </c>
      <c r="AV72" s="482">
        <f t="shared" si="103"/>
        <v>545.25</v>
      </c>
      <c r="AW72" s="482">
        <f t="shared" si="104"/>
        <v>744.05</v>
      </c>
      <c r="AX72" s="482">
        <f t="shared" si="105"/>
        <v>611.61</v>
      </c>
      <c r="AY72" s="482">
        <f t="shared" si="106"/>
        <v>810.41000000000008</v>
      </c>
      <c r="AZ72" s="482">
        <f t="shared" si="107"/>
        <v>512</v>
      </c>
      <c r="BA72" s="482">
        <f t="shared" si="108"/>
        <v>710.8</v>
      </c>
      <c r="BB72" s="482">
        <f t="shared" si="109"/>
        <v>578.36</v>
      </c>
      <c r="BC72" s="482">
        <f t="shared" si="110"/>
        <v>777.16000000000008</v>
      </c>
      <c r="BD72" s="482">
        <f t="shared" si="111"/>
        <v>545.25</v>
      </c>
      <c r="BE72" s="482">
        <f t="shared" si="112"/>
        <v>744.05</v>
      </c>
      <c r="BF72" s="482">
        <f t="shared" si="113"/>
        <v>611.61</v>
      </c>
      <c r="BG72" s="482">
        <f t="shared" si="114"/>
        <v>810.41000000000008</v>
      </c>
    </row>
    <row r="73" spans="1:59">
      <c r="A73" s="213" t="s">
        <v>5316</v>
      </c>
      <c r="B73" s="231">
        <v>608132548</v>
      </c>
      <c r="C73" s="210" t="s">
        <v>58</v>
      </c>
      <c r="D73" s="210">
        <v>7200</v>
      </c>
      <c r="F73" s="239" t="str" cm="1">
        <f t="array" aca="1" ref="F73" ca="1">MID(met2utc(PEPSSI_Commanding[[#This Row],[MET]]),3,15)</f>
        <v>25-118/07:50:32</v>
      </c>
      <c r="G73" s="213" t="str">
        <f t="shared" si="65"/>
        <v>N3+7200</v>
      </c>
      <c r="H73" s="214">
        <f t="shared" si="66"/>
        <v>608131016</v>
      </c>
      <c r="I73" s="214">
        <f t="shared" si="67"/>
        <v>608132866</v>
      </c>
      <c r="J73" s="213">
        <f t="shared" si="68"/>
        <v>7</v>
      </c>
      <c r="K73" s="213">
        <f t="shared" si="69"/>
        <v>3</v>
      </c>
      <c r="M73" s="210">
        <f t="shared" si="70"/>
        <v>10</v>
      </c>
      <c r="N73" s="210">
        <f t="shared" si="71"/>
        <v>40</v>
      </c>
      <c r="O73" s="210">
        <f t="shared" si="72"/>
        <v>7200</v>
      </c>
      <c r="P73" s="210">
        <f t="shared" si="73"/>
        <v>1</v>
      </c>
      <c r="Q73" s="210" t="str">
        <f t="shared" si="74"/>
        <v/>
      </c>
      <c r="R73" s="210" t="str">
        <f t="shared" si="75"/>
        <v/>
      </c>
      <c r="S73" s="210" t="str">
        <f t="shared" si="76"/>
        <v/>
      </c>
      <c r="U73" s="482">
        <f t="shared" si="77"/>
        <v>0</v>
      </c>
      <c r="V73" s="482">
        <f t="shared" si="78"/>
        <v>0</v>
      </c>
      <c r="W73" s="482">
        <f t="shared" si="79"/>
        <v>512</v>
      </c>
      <c r="X73" s="482">
        <f t="shared" si="80"/>
        <v>198.8</v>
      </c>
      <c r="Y73" s="482">
        <f t="shared" si="81"/>
        <v>33.25</v>
      </c>
      <c r="Z73" s="482">
        <f t="shared" si="82"/>
        <v>33.25</v>
      </c>
      <c r="AA73" s="482">
        <f t="shared" si="83"/>
        <v>2.7650000000000001</v>
      </c>
      <c r="AB73" s="243"/>
      <c r="AC73" s="482">
        <f t="shared" si="84"/>
        <v>198.8</v>
      </c>
      <c r="AD73" s="482">
        <f t="shared" si="85"/>
        <v>2.7650000000000001</v>
      </c>
      <c r="AE73" s="482">
        <f t="shared" si="86"/>
        <v>201.565</v>
      </c>
      <c r="AF73" s="482">
        <f t="shared" si="87"/>
        <v>33.25</v>
      </c>
      <c r="AG73" s="482">
        <f t="shared" si="88"/>
        <v>232.05</v>
      </c>
      <c r="AH73" s="482">
        <f t="shared" si="89"/>
        <v>36.015000000000001</v>
      </c>
      <c r="AI73" s="482">
        <f t="shared" si="90"/>
        <v>234.815</v>
      </c>
      <c r="AJ73" s="482">
        <f t="shared" si="91"/>
        <v>0</v>
      </c>
      <c r="AK73" s="482">
        <f t="shared" si="92"/>
        <v>198.8</v>
      </c>
      <c r="AL73" s="482">
        <f t="shared" si="93"/>
        <v>2.7650000000000001</v>
      </c>
      <c r="AM73" s="482">
        <f t="shared" si="94"/>
        <v>201.565</v>
      </c>
      <c r="AN73" s="482">
        <f t="shared" si="95"/>
        <v>33.25</v>
      </c>
      <c r="AO73" s="482">
        <f t="shared" si="96"/>
        <v>232.05</v>
      </c>
      <c r="AP73" s="482">
        <f t="shared" si="97"/>
        <v>36.015000000000001</v>
      </c>
      <c r="AQ73" s="482">
        <f t="shared" si="98"/>
        <v>234.815</v>
      </c>
      <c r="AR73" s="482">
        <f t="shared" si="99"/>
        <v>512</v>
      </c>
      <c r="AS73" s="482">
        <f t="shared" si="100"/>
        <v>710.8</v>
      </c>
      <c r="AT73" s="482">
        <f t="shared" si="101"/>
        <v>514.76499999999999</v>
      </c>
      <c r="AU73" s="482">
        <f t="shared" si="102"/>
        <v>713.56500000000005</v>
      </c>
      <c r="AV73" s="482">
        <f t="shared" si="103"/>
        <v>545.25</v>
      </c>
      <c r="AW73" s="482">
        <f t="shared" si="104"/>
        <v>744.05</v>
      </c>
      <c r="AX73" s="482">
        <f t="shared" si="105"/>
        <v>548.01499999999999</v>
      </c>
      <c r="AY73" s="482">
        <f t="shared" si="106"/>
        <v>746.81500000000005</v>
      </c>
      <c r="AZ73" s="482">
        <f t="shared" si="107"/>
        <v>512</v>
      </c>
      <c r="BA73" s="482">
        <f t="shared" si="108"/>
        <v>710.8</v>
      </c>
      <c r="BB73" s="482">
        <f t="shared" si="109"/>
        <v>514.76499999999999</v>
      </c>
      <c r="BC73" s="482">
        <f t="shared" si="110"/>
        <v>713.56500000000005</v>
      </c>
      <c r="BD73" s="482">
        <f t="shared" si="111"/>
        <v>545.25</v>
      </c>
      <c r="BE73" s="482">
        <f t="shared" si="112"/>
        <v>744.05</v>
      </c>
      <c r="BF73" s="482">
        <f t="shared" si="113"/>
        <v>548.01499999999999</v>
      </c>
      <c r="BG73" s="482">
        <f t="shared" si="114"/>
        <v>746.81500000000005</v>
      </c>
    </row>
    <row r="74" spans="1:59">
      <c r="A74" s="213" t="s">
        <v>5316</v>
      </c>
      <c r="B74" s="231">
        <v>608132549</v>
      </c>
      <c r="C74" s="210" t="s">
        <v>1</v>
      </c>
      <c r="D74" s="210">
        <v>3600</v>
      </c>
      <c r="F74" s="239" t="str" cm="1">
        <f t="array" aca="1" ref="F74" ca="1">MID(met2utc(PEPSSI_Commanding[[#This Row],[MET]]),3,15)</f>
        <v>25-118/07:50:33</v>
      </c>
      <c r="G74" s="213" t="str">
        <f t="shared" si="65"/>
        <v>N1+3600</v>
      </c>
      <c r="H74" s="214">
        <f t="shared" si="66"/>
        <v>608131016</v>
      </c>
      <c r="I74" s="214">
        <f t="shared" si="67"/>
        <v>608132866</v>
      </c>
      <c r="J74" s="213">
        <f t="shared" si="68"/>
        <v>8</v>
      </c>
      <c r="K74" s="213">
        <f t="shared" si="69"/>
        <v>2</v>
      </c>
      <c r="M74" s="210">
        <f t="shared" si="70"/>
        <v>3600</v>
      </c>
      <c r="N74" s="210">
        <f t="shared" si="71"/>
        <v>40</v>
      </c>
      <c r="O74" s="210">
        <f t="shared" si="72"/>
        <v>7200</v>
      </c>
      <c r="P74" s="210">
        <f t="shared" si="73"/>
        <v>1</v>
      </c>
      <c r="Q74" s="210" t="str">
        <f t="shared" si="74"/>
        <v/>
      </c>
      <c r="R74" s="210" t="str">
        <f t="shared" si="75"/>
        <v/>
      </c>
      <c r="S74" s="210" t="str">
        <f t="shared" si="76"/>
        <v/>
      </c>
      <c r="U74" s="482">
        <f t="shared" si="77"/>
        <v>0</v>
      </c>
      <c r="V74" s="482">
        <f t="shared" si="78"/>
        <v>0</v>
      </c>
      <c r="W74" s="482">
        <f t="shared" si="79"/>
        <v>512</v>
      </c>
      <c r="X74" s="482">
        <f t="shared" si="80"/>
        <v>0.55222222222222217</v>
      </c>
      <c r="Y74" s="482">
        <f t="shared" si="81"/>
        <v>33.25</v>
      </c>
      <c r="Z74" s="482">
        <f t="shared" si="82"/>
        <v>33.25</v>
      </c>
      <c r="AA74" s="482">
        <f t="shared" si="83"/>
        <v>2.7650000000000001</v>
      </c>
      <c r="AB74" s="243"/>
      <c r="AC74" s="482">
        <f t="shared" si="84"/>
        <v>0.55222222222222217</v>
      </c>
      <c r="AD74" s="482">
        <f t="shared" si="85"/>
        <v>2.7650000000000001</v>
      </c>
      <c r="AE74" s="482">
        <f t="shared" si="86"/>
        <v>3.3172222222222221</v>
      </c>
      <c r="AF74" s="482">
        <f t="shared" si="87"/>
        <v>33.25</v>
      </c>
      <c r="AG74" s="482">
        <f t="shared" si="88"/>
        <v>33.80222222222222</v>
      </c>
      <c r="AH74" s="482">
        <f t="shared" si="89"/>
        <v>36.015000000000001</v>
      </c>
      <c r="AI74" s="482">
        <f t="shared" si="90"/>
        <v>36.56722222222222</v>
      </c>
      <c r="AJ74" s="482">
        <f t="shared" si="91"/>
        <v>0</v>
      </c>
      <c r="AK74" s="482">
        <f t="shared" si="92"/>
        <v>0.55222222222222217</v>
      </c>
      <c r="AL74" s="482">
        <f t="shared" si="93"/>
        <v>2.7650000000000001</v>
      </c>
      <c r="AM74" s="482">
        <f t="shared" si="94"/>
        <v>3.3172222222222221</v>
      </c>
      <c r="AN74" s="482">
        <f t="shared" si="95"/>
        <v>33.25</v>
      </c>
      <c r="AO74" s="482">
        <f t="shared" si="96"/>
        <v>33.80222222222222</v>
      </c>
      <c r="AP74" s="482">
        <f t="shared" si="97"/>
        <v>36.015000000000001</v>
      </c>
      <c r="AQ74" s="482">
        <f t="shared" si="98"/>
        <v>36.56722222222222</v>
      </c>
      <c r="AR74" s="482">
        <f t="shared" si="99"/>
        <v>512</v>
      </c>
      <c r="AS74" s="482">
        <f t="shared" si="100"/>
        <v>512.55222222222221</v>
      </c>
      <c r="AT74" s="482">
        <f t="shared" si="101"/>
        <v>514.76499999999999</v>
      </c>
      <c r="AU74" s="482">
        <f t="shared" si="102"/>
        <v>515.3172222222222</v>
      </c>
      <c r="AV74" s="482">
        <f t="shared" si="103"/>
        <v>545.25</v>
      </c>
      <c r="AW74" s="482">
        <f t="shared" si="104"/>
        <v>545.80222222222221</v>
      </c>
      <c r="AX74" s="482">
        <f t="shared" si="105"/>
        <v>548.01499999999999</v>
      </c>
      <c r="AY74" s="482">
        <f t="shared" si="106"/>
        <v>548.5672222222222</v>
      </c>
      <c r="AZ74" s="482">
        <f t="shared" si="107"/>
        <v>512</v>
      </c>
      <c r="BA74" s="482">
        <f t="shared" si="108"/>
        <v>512.55222222222221</v>
      </c>
      <c r="BB74" s="482">
        <f t="shared" si="109"/>
        <v>514.76499999999999</v>
      </c>
      <c r="BC74" s="482">
        <f t="shared" si="110"/>
        <v>515.3172222222222</v>
      </c>
      <c r="BD74" s="482">
        <f t="shared" si="111"/>
        <v>545.25</v>
      </c>
      <c r="BE74" s="482">
        <f t="shared" si="112"/>
        <v>545.80222222222221</v>
      </c>
      <c r="BF74" s="482">
        <f t="shared" si="113"/>
        <v>548.01499999999999</v>
      </c>
      <c r="BG74" s="482">
        <f t="shared" si="114"/>
        <v>548.5672222222222</v>
      </c>
    </row>
    <row r="75" spans="1:59">
      <c r="A75" s="213" t="s">
        <v>5317</v>
      </c>
      <c r="B75" s="231">
        <v>608132550</v>
      </c>
      <c r="C75" s="210" t="s">
        <v>5284</v>
      </c>
      <c r="D75" s="210">
        <v>300</v>
      </c>
      <c r="F75" s="239" t="str" cm="1">
        <f t="array" aca="1" ref="F75" ca="1">MID(met2utc(PEPSSI_Commanding[[#This Row],[MET]]),3,15)</f>
        <v>25-118/07:50:34</v>
      </c>
      <c r="G75" s="213" t="str">
        <f t="shared" si="65"/>
        <v>STAT+300</v>
      </c>
      <c r="H75" s="214">
        <f t="shared" si="66"/>
        <v>608131016</v>
      </c>
      <c r="I75" s="214">
        <f t="shared" si="67"/>
        <v>608132866</v>
      </c>
      <c r="J75" s="213">
        <f t="shared" si="68"/>
        <v>9</v>
      </c>
      <c r="K75" s="213">
        <f t="shared" si="69"/>
        <v>1</v>
      </c>
      <c r="M75" s="210">
        <f t="shared" si="70"/>
        <v>3600</v>
      </c>
      <c r="N75" s="210">
        <f t="shared" si="71"/>
        <v>40</v>
      </c>
      <c r="O75" s="210">
        <f t="shared" si="72"/>
        <v>7200</v>
      </c>
      <c r="P75" s="210">
        <f t="shared" si="73"/>
        <v>300</v>
      </c>
      <c r="Q75" s="210" t="str">
        <f t="shared" si="74"/>
        <v/>
      </c>
      <c r="R75" s="210" t="str">
        <f t="shared" si="75"/>
        <v/>
      </c>
      <c r="S75" s="210" t="str">
        <f t="shared" si="76"/>
        <v/>
      </c>
      <c r="U75" s="482">
        <f t="shared" si="77"/>
        <v>0</v>
      </c>
      <c r="V75" s="482">
        <f t="shared" si="78"/>
        <v>0</v>
      </c>
      <c r="W75" s="482">
        <f t="shared" si="79"/>
        <v>1.7066666666666668</v>
      </c>
      <c r="X75" s="482">
        <f t="shared" si="80"/>
        <v>0.55222222222222217</v>
      </c>
      <c r="Y75" s="482">
        <f t="shared" si="81"/>
        <v>33.25</v>
      </c>
      <c r="Z75" s="482">
        <f t="shared" si="82"/>
        <v>33.25</v>
      </c>
      <c r="AA75" s="482">
        <f t="shared" si="83"/>
        <v>2.7650000000000001</v>
      </c>
      <c r="AB75" s="243"/>
      <c r="AC75" s="482">
        <f t="shared" si="84"/>
        <v>0.55222222222222217</v>
      </c>
      <c r="AD75" s="482">
        <f t="shared" si="85"/>
        <v>2.7650000000000001</v>
      </c>
      <c r="AE75" s="482">
        <f t="shared" si="86"/>
        <v>3.3172222222222221</v>
      </c>
      <c r="AF75" s="482">
        <f t="shared" si="87"/>
        <v>33.25</v>
      </c>
      <c r="AG75" s="482">
        <f t="shared" si="88"/>
        <v>33.80222222222222</v>
      </c>
      <c r="AH75" s="482">
        <f t="shared" si="89"/>
        <v>36.015000000000001</v>
      </c>
      <c r="AI75" s="482">
        <f t="shared" si="90"/>
        <v>36.56722222222222</v>
      </c>
      <c r="AJ75" s="482">
        <f t="shared" si="91"/>
        <v>0</v>
      </c>
      <c r="AK75" s="482">
        <f t="shared" si="92"/>
        <v>0.55222222222222217</v>
      </c>
      <c r="AL75" s="482">
        <f t="shared" si="93"/>
        <v>2.7650000000000001</v>
      </c>
      <c r="AM75" s="482">
        <f t="shared" si="94"/>
        <v>3.3172222222222221</v>
      </c>
      <c r="AN75" s="482">
        <f t="shared" si="95"/>
        <v>33.25</v>
      </c>
      <c r="AO75" s="482">
        <f t="shared" si="96"/>
        <v>33.80222222222222</v>
      </c>
      <c r="AP75" s="482">
        <f t="shared" si="97"/>
        <v>36.015000000000001</v>
      </c>
      <c r="AQ75" s="482">
        <f t="shared" si="98"/>
        <v>36.56722222222222</v>
      </c>
      <c r="AR75" s="482">
        <f t="shared" si="99"/>
        <v>1.7066666666666668</v>
      </c>
      <c r="AS75" s="482">
        <f t="shared" si="100"/>
        <v>2.2588888888888889</v>
      </c>
      <c r="AT75" s="482">
        <f t="shared" si="101"/>
        <v>4.4716666666666667</v>
      </c>
      <c r="AU75" s="482">
        <f t="shared" si="102"/>
        <v>5.0238888888888891</v>
      </c>
      <c r="AV75" s="482">
        <f t="shared" si="103"/>
        <v>34.956666666666663</v>
      </c>
      <c r="AW75" s="482">
        <f t="shared" si="104"/>
        <v>35.508888888888883</v>
      </c>
      <c r="AX75" s="482">
        <f t="shared" si="105"/>
        <v>37.721666666666664</v>
      </c>
      <c r="AY75" s="482">
        <f t="shared" si="106"/>
        <v>38.273888888888884</v>
      </c>
      <c r="AZ75" s="482">
        <f t="shared" si="107"/>
        <v>1.7066666666666668</v>
      </c>
      <c r="BA75" s="482">
        <f t="shared" si="108"/>
        <v>2.2588888888888889</v>
      </c>
      <c r="BB75" s="482">
        <f t="shared" si="109"/>
        <v>4.4716666666666667</v>
      </c>
      <c r="BC75" s="482">
        <f t="shared" si="110"/>
        <v>5.0238888888888891</v>
      </c>
      <c r="BD75" s="482">
        <f t="shared" si="111"/>
        <v>34.956666666666663</v>
      </c>
      <c r="BE75" s="482">
        <f t="shared" si="112"/>
        <v>35.508888888888883</v>
      </c>
      <c r="BF75" s="482">
        <f t="shared" si="113"/>
        <v>37.721666666666664</v>
      </c>
      <c r="BG75" s="482">
        <f t="shared" si="114"/>
        <v>38.273888888888884</v>
      </c>
    </row>
    <row r="76" spans="1:59">
      <c r="A76" s="213" t="s">
        <v>5316</v>
      </c>
      <c r="B76" s="231">
        <v>608132866</v>
      </c>
      <c r="C76" s="210" t="s">
        <v>61</v>
      </c>
      <c r="D76" s="210">
        <v>120</v>
      </c>
      <c r="F76" s="239" t="str" cm="1">
        <f t="array" aca="1" ref="F76" ca="1">MID(met2utc(PEPSSI_Commanding[[#This Row],[MET]]),3,15)</f>
        <v>25-118/07:55:50</v>
      </c>
      <c r="G76" s="213" t="str">
        <f t="shared" si="65"/>
        <v>N2+120</v>
      </c>
      <c r="H76" s="214">
        <f t="shared" si="66"/>
        <v>608132866</v>
      </c>
      <c r="I76" s="214">
        <f t="shared" si="67"/>
        <v>608536086</v>
      </c>
      <c r="J76" s="213">
        <f t="shared" si="68"/>
        <v>10</v>
      </c>
      <c r="K76" s="213">
        <f t="shared" si="69"/>
        <v>6</v>
      </c>
      <c r="M76" s="210">
        <f t="shared" si="70"/>
        <v>3600</v>
      </c>
      <c r="N76" s="210">
        <f t="shared" si="71"/>
        <v>120</v>
      </c>
      <c r="O76" s="210">
        <f t="shared" si="72"/>
        <v>7200</v>
      </c>
      <c r="P76" s="210">
        <f t="shared" si="73"/>
        <v>300</v>
      </c>
      <c r="Q76" s="210" t="str">
        <f t="shared" si="74"/>
        <v/>
      </c>
      <c r="R76" s="210" t="str">
        <f t="shared" si="75"/>
        <v/>
      </c>
      <c r="S76" s="210" t="str">
        <f t="shared" si="76"/>
        <v/>
      </c>
      <c r="U76" s="482">
        <f t="shared" si="77"/>
        <v>0</v>
      </c>
      <c r="V76" s="482">
        <f t="shared" si="78"/>
        <v>0</v>
      </c>
      <c r="W76" s="482">
        <f t="shared" si="79"/>
        <v>1.7066666666666668</v>
      </c>
      <c r="X76" s="482">
        <f t="shared" si="80"/>
        <v>0.55222222222222217</v>
      </c>
      <c r="Y76" s="482">
        <f t="shared" si="81"/>
        <v>11.083333333333334</v>
      </c>
      <c r="Z76" s="482">
        <f t="shared" si="82"/>
        <v>11.083333333333334</v>
      </c>
      <c r="AA76" s="482">
        <f t="shared" si="83"/>
        <v>2.7650000000000001</v>
      </c>
      <c r="AB76" s="243"/>
      <c r="AC76" s="482">
        <f t="shared" si="84"/>
        <v>0.55222222222222217</v>
      </c>
      <c r="AD76" s="482">
        <f t="shared" si="85"/>
        <v>2.7650000000000001</v>
      </c>
      <c r="AE76" s="482">
        <f t="shared" si="86"/>
        <v>3.3172222222222221</v>
      </c>
      <c r="AF76" s="482">
        <f t="shared" si="87"/>
        <v>11.083333333333334</v>
      </c>
      <c r="AG76" s="482">
        <f t="shared" si="88"/>
        <v>11.635555555555555</v>
      </c>
      <c r="AH76" s="482">
        <f t="shared" si="89"/>
        <v>13.848333333333334</v>
      </c>
      <c r="AI76" s="482">
        <f t="shared" si="90"/>
        <v>14.400555555555556</v>
      </c>
      <c r="AJ76" s="482">
        <f t="shared" si="91"/>
        <v>0</v>
      </c>
      <c r="AK76" s="482">
        <f t="shared" si="92"/>
        <v>0.55222222222222217</v>
      </c>
      <c r="AL76" s="482">
        <f t="shared" si="93"/>
        <v>2.7650000000000001</v>
      </c>
      <c r="AM76" s="482">
        <f t="shared" si="94"/>
        <v>3.3172222222222221</v>
      </c>
      <c r="AN76" s="482">
        <f t="shared" si="95"/>
        <v>11.083333333333334</v>
      </c>
      <c r="AO76" s="482">
        <f t="shared" si="96"/>
        <v>11.635555555555555</v>
      </c>
      <c r="AP76" s="482">
        <f t="shared" si="97"/>
        <v>13.848333333333334</v>
      </c>
      <c r="AQ76" s="482">
        <f t="shared" si="98"/>
        <v>14.400555555555556</v>
      </c>
      <c r="AR76" s="482">
        <f t="shared" si="99"/>
        <v>1.7066666666666668</v>
      </c>
      <c r="AS76" s="482">
        <f t="shared" si="100"/>
        <v>2.2588888888888889</v>
      </c>
      <c r="AT76" s="482">
        <f t="shared" si="101"/>
        <v>4.4716666666666667</v>
      </c>
      <c r="AU76" s="482">
        <f t="shared" si="102"/>
        <v>5.0238888888888891</v>
      </c>
      <c r="AV76" s="482">
        <f t="shared" si="103"/>
        <v>12.790000000000001</v>
      </c>
      <c r="AW76" s="482">
        <f t="shared" si="104"/>
        <v>13.342222222222222</v>
      </c>
      <c r="AX76" s="482">
        <f t="shared" si="105"/>
        <v>15.555000000000001</v>
      </c>
      <c r="AY76" s="482">
        <f t="shared" si="106"/>
        <v>16.107222222222223</v>
      </c>
      <c r="AZ76" s="482">
        <f t="shared" si="107"/>
        <v>1.7066666666666668</v>
      </c>
      <c r="BA76" s="482">
        <f t="shared" si="108"/>
        <v>2.2588888888888889</v>
      </c>
      <c r="BB76" s="482">
        <f t="shared" si="109"/>
        <v>4.4716666666666667</v>
      </c>
      <c r="BC76" s="482">
        <f t="shared" si="110"/>
        <v>5.0238888888888891</v>
      </c>
      <c r="BD76" s="482">
        <f t="shared" si="111"/>
        <v>12.790000000000001</v>
      </c>
      <c r="BE76" s="482">
        <f t="shared" si="112"/>
        <v>13.342222222222222</v>
      </c>
      <c r="BF76" s="482">
        <f t="shared" si="113"/>
        <v>15.555000000000001</v>
      </c>
      <c r="BG76" s="482">
        <f t="shared" si="114"/>
        <v>16.107222222222223</v>
      </c>
    </row>
    <row r="77" spans="1:59">
      <c r="A77" s="213" t="s">
        <v>5316</v>
      </c>
      <c r="B77" s="231">
        <v>608132869</v>
      </c>
      <c r="C77" s="210" t="s">
        <v>1</v>
      </c>
      <c r="D77" s="210">
        <v>120</v>
      </c>
      <c r="F77" s="239" t="str" cm="1">
        <f t="array" aca="1" ref="F77" ca="1">MID(met2utc(PEPSSI_Commanding[[#This Row],[MET]]),3,15)</f>
        <v>25-118/07:55:53</v>
      </c>
      <c r="G77" s="213" t="str">
        <f t="shared" si="65"/>
        <v>N1+120</v>
      </c>
      <c r="H77" s="214">
        <f t="shared" si="66"/>
        <v>608132866</v>
      </c>
      <c r="I77" s="214">
        <f t="shared" si="67"/>
        <v>608536086</v>
      </c>
      <c r="J77" s="213">
        <f t="shared" si="68"/>
        <v>11</v>
      </c>
      <c r="K77" s="213">
        <f t="shared" si="69"/>
        <v>5</v>
      </c>
      <c r="M77" s="210">
        <f t="shared" si="70"/>
        <v>120</v>
      </c>
      <c r="N77" s="210">
        <f t="shared" si="71"/>
        <v>120</v>
      </c>
      <c r="O77" s="210">
        <f t="shared" si="72"/>
        <v>7200</v>
      </c>
      <c r="P77" s="210">
        <f t="shared" si="73"/>
        <v>300</v>
      </c>
      <c r="Q77" s="210" t="str">
        <f t="shared" si="74"/>
        <v/>
      </c>
      <c r="R77" s="210" t="str">
        <f t="shared" si="75"/>
        <v/>
      </c>
      <c r="S77" s="210" t="str">
        <f t="shared" si="76"/>
        <v/>
      </c>
      <c r="U77" s="482">
        <f t="shared" si="77"/>
        <v>0</v>
      </c>
      <c r="V77" s="482">
        <f t="shared" si="78"/>
        <v>0</v>
      </c>
      <c r="W77" s="482">
        <f t="shared" si="79"/>
        <v>1.7066666666666668</v>
      </c>
      <c r="X77" s="482">
        <f t="shared" si="80"/>
        <v>16.566666666666666</v>
      </c>
      <c r="Y77" s="482">
        <f t="shared" si="81"/>
        <v>11.083333333333334</v>
      </c>
      <c r="Z77" s="482">
        <f t="shared" si="82"/>
        <v>11.083333333333334</v>
      </c>
      <c r="AA77" s="482">
        <f t="shared" si="83"/>
        <v>2.7650000000000001</v>
      </c>
      <c r="AB77" s="243"/>
      <c r="AC77" s="482">
        <f t="shared" si="84"/>
        <v>16.566666666666666</v>
      </c>
      <c r="AD77" s="482">
        <f t="shared" si="85"/>
        <v>2.7650000000000001</v>
      </c>
      <c r="AE77" s="482">
        <f t="shared" si="86"/>
        <v>19.331666666666667</v>
      </c>
      <c r="AF77" s="482">
        <f t="shared" si="87"/>
        <v>11.083333333333334</v>
      </c>
      <c r="AG77" s="482">
        <f t="shared" si="88"/>
        <v>27.65</v>
      </c>
      <c r="AH77" s="482">
        <f t="shared" si="89"/>
        <v>13.848333333333334</v>
      </c>
      <c r="AI77" s="482">
        <f t="shared" si="90"/>
        <v>30.414999999999999</v>
      </c>
      <c r="AJ77" s="482">
        <f t="shared" si="91"/>
        <v>0</v>
      </c>
      <c r="AK77" s="482">
        <f t="shared" si="92"/>
        <v>16.566666666666666</v>
      </c>
      <c r="AL77" s="482">
        <f t="shared" si="93"/>
        <v>2.7650000000000001</v>
      </c>
      <c r="AM77" s="482">
        <f t="shared" si="94"/>
        <v>19.331666666666667</v>
      </c>
      <c r="AN77" s="482">
        <f t="shared" si="95"/>
        <v>11.083333333333334</v>
      </c>
      <c r="AO77" s="482">
        <f t="shared" si="96"/>
        <v>27.65</v>
      </c>
      <c r="AP77" s="482">
        <f t="shared" si="97"/>
        <v>13.848333333333334</v>
      </c>
      <c r="AQ77" s="482">
        <f t="shared" si="98"/>
        <v>30.414999999999999</v>
      </c>
      <c r="AR77" s="482">
        <f t="shared" si="99"/>
        <v>1.7066666666666668</v>
      </c>
      <c r="AS77" s="482">
        <f t="shared" si="100"/>
        <v>18.273333333333333</v>
      </c>
      <c r="AT77" s="482">
        <f t="shared" si="101"/>
        <v>4.4716666666666667</v>
      </c>
      <c r="AU77" s="482">
        <f t="shared" si="102"/>
        <v>21.038333333333334</v>
      </c>
      <c r="AV77" s="482">
        <f t="shared" si="103"/>
        <v>12.790000000000001</v>
      </c>
      <c r="AW77" s="482">
        <f t="shared" si="104"/>
        <v>29.356666666666669</v>
      </c>
      <c r="AX77" s="482">
        <f t="shared" si="105"/>
        <v>15.555000000000001</v>
      </c>
      <c r="AY77" s="482">
        <f t="shared" si="106"/>
        <v>32.12166666666667</v>
      </c>
      <c r="AZ77" s="482">
        <f t="shared" si="107"/>
        <v>1.7066666666666668</v>
      </c>
      <c r="BA77" s="482">
        <f t="shared" si="108"/>
        <v>18.273333333333333</v>
      </c>
      <c r="BB77" s="482">
        <f t="shared" si="109"/>
        <v>4.4716666666666667</v>
      </c>
      <c r="BC77" s="482">
        <f t="shared" si="110"/>
        <v>21.038333333333334</v>
      </c>
      <c r="BD77" s="482">
        <f t="shared" si="111"/>
        <v>12.790000000000001</v>
      </c>
      <c r="BE77" s="482">
        <f t="shared" si="112"/>
        <v>29.356666666666669</v>
      </c>
      <c r="BF77" s="482">
        <f t="shared" si="113"/>
        <v>15.555000000000001</v>
      </c>
      <c r="BG77" s="482">
        <f t="shared" si="114"/>
        <v>32.12166666666667</v>
      </c>
    </row>
    <row r="78" spans="1:59">
      <c r="A78" s="213" t="s">
        <v>5316</v>
      </c>
      <c r="B78" s="231">
        <v>608132872</v>
      </c>
      <c r="C78" s="210" t="s">
        <v>58</v>
      </c>
      <c r="D78" s="210">
        <v>7200</v>
      </c>
      <c r="F78" s="239" t="str" cm="1">
        <f t="array" aca="1" ref="F78" ca="1">MID(met2utc(PEPSSI_Commanding[[#This Row],[MET]]),3,15)</f>
        <v>25-118/07:55:56</v>
      </c>
      <c r="G78" s="213" t="str">
        <f t="shared" ref="G78:G109" si="115">_xlfn.TEXTJOIN("+",TRUE,$C78:$D78)</f>
        <v>N3+7200</v>
      </c>
      <c r="H78" s="214">
        <f t="shared" ref="H78:H109" si="116">IF($C78="ON",$B78,IF(RIGHT($H77,9)="MET Start","",IF(AND($K78&lt;&gt;0,$K77=1),$B78,$H77)))</f>
        <v>608132866</v>
      </c>
      <c r="I78" s="214">
        <f t="shared" ref="I78:I109" si="117">IF($C78="OFF",$B78,IF($B79="",$B78+31500000,IF($K78=1,$B79,I79)))</f>
        <v>608536086</v>
      </c>
      <c r="J78" s="213">
        <f t="shared" ref="J78:J109" si="118">IF($G78="ON",0,IF(OR(J77="",LEFT(J77,6)="Offset"),"",J77+1))</f>
        <v>12</v>
      </c>
      <c r="K78" s="213">
        <f t="shared" ref="K78:K109" si="119">IF($G78="OFF",0,IF(AND($J79&lt;&gt;0,$J78&lt;&gt;9,$G79&lt;&gt;"MAC+111",($B79-$B78)&lt;7200),K79+1,1))</f>
        <v>4</v>
      </c>
      <c r="M78" s="210">
        <f t="shared" ref="M78:M109" si="120">IF($C78="ON","",IF($C78="N1",$D78,IF(M77="N1","",M77)))</f>
        <v>120</v>
      </c>
      <c r="N78" s="210">
        <f t="shared" ref="N78:N109" si="121">IF($C78="ON","",IF($C78="N2",$D78,IF($G78="MAC+103",3,IF($G78="MAC+104",2,IF(N77="N2","",N77)))))</f>
        <v>120</v>
      </c>
      <c r="O78" s="210">
        <f t="shared" ref="O78:O109" si="122">IF($C78="ON","",IF($C78="N3",$D78,IF(O77="N3","",O77)))</f>
        <v>7200</v>
      </c>
      <c r="P78" s="210">
        <f t="shared" ref="P78:P109" si="123">IF($C78="ON","",IF($C78="STAT",$D78,IF(P77="STAT","",P77)))</f>
        <v>300</v>
      </c>
      <c r="Q78" s="210" t="str">
        <f t="shared" ref="Q78:Q109" si="124">IF(OR($C78="ON",$G78="MAC+101",AND($C78="MAC",105&lt;=$D78,$D78&lt;=110)),"",IF(OR($G78="MAC+103",$G78="MAC+104",$G78="MAC+111"),"disabled",IF(Q77="N2 disabled","",Q77)))</f>
        <v/>
      </c>
      <c r="R78" s="210" t="str">
        <f t="shared" ref="R78:R109" si="125">IF(OR($G78="ON",$G78="MAC+111"),"",IF($G78="MAC+105",300,IF(OR($G78="MAC+106",$G78="MAC+101"),600,IF($G78="MAC+107",840,IF($G78="MAC+108",1200,IF($G78="MAC+109",1800,IF($G78="MAC+110",43200,IF(LEFT(R77,4)="105-","",R77))))))))</f>
        <v/>
      </c>
      <c r="S78" s="210" t="str">
        <f t="shared" ref="S78:S109" si="126">IF($C78="ON","",IF($G78="MAC+102","102",IF(RIGHT(S77,1)="?","",S77)))</f>
        <v/>
      </c>
      <c r="U78" s="482">
        <f t="shared" ref="U78:U109" si="127">IF(OR($N78="",$R78=""),0,U$1/64/$N78)</f>
        <v>0</v>
      </c>
      <c r="V78" s="482">
        <f t="shared" ref="V78:V109" si="128">IF(OR($N78="",$R78=""),0,V$1/64/$N78)</f>
        <v>0</v>
      </c>
      <c r="W78" s="482">
        <f t="shared" ref="W78:W109" si="129">IF($P78="",0,W$1/$P78)</f>
        <v>1.7066666666666668</v>
      </c>
      <c r="X78" s="482">
        <f t="shared" ref="X78:X109" si="130">IF($M78="",0,X$1/$M78)</f>
        <v>16.566666666666666</v>
      </c>
      <c r="Y78" s="482">
        <f t="shared" ref="Y78:Y109" si="131">IF(OR($N78="",$Q78&lt;&gt;""),0,Y$1/$N78)</f>
        <v>11.083333333333334</v>
      </c>
      <c r="Z78" s="482">
        <f t="shared" ref="Z78:Z109" si="132">IF($N78="",0,IF($R78="",1,R78/43200)*Y78)</f>
        <v>11.083333333333334</v>
      </c>
      <c r="AA78" s="482">
        <f t="shared" ref="AA78:AA109" si="133">IF($O78="",0,AA$1/$O78)</f>
        <v>2.7650000000000001</v>
      </c>
      <c r="AB78" s="243"/>
      <c r="AC78" s="482">
        <f t="shared" ref="AC78:AC109" si="134">IF(AC$3&lt;&gt;"",$W78,0)+IF(AC$4&lt;&gt;"",$U78,0)+IF(AC$5&lt;&gt;"",$Z78+IF($S78&lt;&gt;"102",$V78,0),0)+IF(AC$6&lt;&gt;"",$AA78+IF($S78="102",$V78,0),0)+IF(AC$7&lt;&gt;"",$X78,0)</f>
        <v>16.566666666666666</v>
      </c>
      <c r="AD78" s="482">
        <f t="shared" ref="AD78:AD109" si="135">IF(AD$3&lt;&gt;"",$W78,0)+IF(AD$4&lt;&gt;"",$U78,0)+IF(AD$5&lt;&gt;"",$Z78+IF($S78&lt;&gt;"102",$V78,0),0)+IF(AD$6&lt;&gt;"",$AA78+IF($S78="102",$V78,0),0)+IF(AD$7&lt;&gt;"",$X78,0)</f>
        <v>2.7650000000000001</v>
      </c>
      <c r="AE78" s="482">
        <f t="shared" ref="AE78:AE109" si="136">IF(AE$3&lt;&gt;"",$W78,0)+IF(AE$4&lt;&gt;"",$U78,0)+IF(AE$5&lt;&gt;"",$Z78+IF($S78&lt;&gt;"102",$V78,0),0)+IF(AE$6&lt;&gt;"",$AA78+IF($S78="102",$V78,0),0)+IF(AE$7&lt;&gt;"",$X78,0)</f>
        <v>19.331666666666667</v>
      </c>
      <c r="AF78" s="482">
        <f t="shared" ref="AF78:AF109" si="137">IF(AF$3&lt;&gt;"",$W78,0)+IF(AF$4&lt;&gt;"",$U78,0)+IF(AF$5&lt;&gt;"",$Z78+IF($S78&lt;&gt;"102",$V78,0),0)+IF(AF$6&lt;&gt;"",$AA78+IF($S78="102",$V78,0),0)+IF(AF$7&lt;&gt;"",$X78,0)</f>
        <v>11.083333333333334</v>
      </c>
      <c r="AG78" s="482">
        <f t="shared" ref="AG78:AG109" si="138">IF(AG$3&lt;&gt;"",$W78,0)+IF(AG$4&lt;&gt;"",$U78,0)+IF(AG$5&lt;&gt;"",$Z78+IF($S78&lt;&gt;"102",$V78,0),0)+IF(AG$6&lt;&gt;"",$AA78+IF($S78="102",$V78,0),0)+IF(AG$7&lt;&gt;"",$X78,0)</f>
        <v>27.65</v>
      </c>
      <c r="AH78" s="482">
        <f t="shared" ref="AH78:AH109" si="139">IF(AH$3&lt;&gt;"",$W78,0)+IF(AH$4&lt;&gt;"",$U78,0)+IF(AH$5&lt;&gt;"",$Z78+IF($S78&lt;&gt;"102",$V78,0),0)+IF(AH$6&lt;&gt;"",$AA78+IF($S78="102",$V78,0),0)+IF(AH$7&lt;&gt;"",$X78,0)</f>
        <v>13.848333333333334</v>
      </c>
      <c r="AI78" s="482">
        <f t="shared" ref="AI78:AI109" si="140">IF(AI$3&lt;&gt;"",$W78,0)+IF(AI$4&lt;&gt;"",$U78,0)+IF(AI$5&lt;&gt;"",$Z78+IF($S78&lt;&gt;"102",$V78,0),0)+IF(AI$6&lt;&gt;"",$AA78+IF($S78="102",$V78,0),0)+IF(AI$7&lt;&gt;"",$X78,0)</f>
        <v>30.414999999999999</v>
      </c>
      <c r="AJ78" s="482">
        <f t="shared" ref="AJ78:AJ109" si="141">IF(AJ$3&lt;&gt;"",$W78,0)+IF(AJ$4&lt;&gt;"",$U78,0)+IF(AJ$5&lt;&gt;"",$Z78+IF($S78&lt;&gt;"102",$V78,0),0)+IF(AJ$6&lt;&gt;"",$AA78+IF($S78="102",$V78,0),0)+IF(AJ$7&lt;&gt;"",$X78,0)</f>
        <v>0</v>
      </c>
      <c r="AK78" s="482">
        <f t="shared" ref="AK78:AK109" si="142">IF(AK$3&lt;&gt;"",$W78,0)+IF(AK$4&lt;&gt;"",$U78,0)+IF(AK$5&lt;&gt;"",$Z78+IF($S78&lt;&gt;"102",$V78,0),0)+IF(AK$6&lt;&gt;"",$AA78+IF($S78="102",$V78,0),0)+IF(AK$7&lt;&gt;"",$X78,0)</f>
        <v>16.566666666666666</v>
      </c>
      <c r="AL78" s="482">
        <f t="shared" ref="AL78:AL109" si="143">IF(AL$3&lt;&gt;"",$W78,0)+IF(AL$4&lt;&gt;"",$U78,0)+IF(AL$5&lt;&gt;"",$Z78+IF($S78&lt;&gt;"102",$V78,0),0)+IF(AL$6&lt;&gt;"",$AA78+IF($S78="102",$V78,0),0)+IF(AL$7&lt;&gt;"",$X78,0)</f>
        <v>2.7650000000000001</v>
      </c>
      <c r="AM78" s="482">
        <f t="shared" ref="AM78:AM109" si="144">IF(AM$3&lt;&gt;"",$W78,0)+IF(AM$4&lt;&gt;"",$U78,0)+IF(AM$5&lt;&gt;"",$Z78+IF($S78&lt;&gt;"102",$V78,0),0)+IF(AM$6&lt;&gt;"",$AA78+IF($S78="102",$V78,0),0)+IF(AM$7&lt;&gt;"",$X78,0)</f>
        <v>19.331666666666667</v>
      </c>
      <c r="AN78" s="482">
        <f t="shared" ref="AN78:AN109" si="145">IF(AN$3&lt;&gt;"",$W78,0)+IF(AN$4&lt;&gt;"",$U78,0)+IF(AN$5&lt;&gt;"",$Z78+IF($S78&lt;&gt;"102",$V78,0),0)+IF(AN$6&lt;&gt;"",$AA78+IF($S78="102",$V78,0),0)+IF(AN$7&lt;&gt;"",$X78,0)</f>
        <v>11.083333333333334</v>
      </c>
      <c r="AO78" s="482">
        <f t="shared" ref="AO78:AO109" si="146">IF(AO$3&lt;&gt;"",$W78,0)+IF(AO$4&lt;&gt;"",$U78,0)+IF(AO$5&lt;&gt;"",$Z78+IF($S78&lt;&gt;"102",$V78,0),0)+IF(AO$6&lt;&gt;"",$AA78+IF($S78="102",$V78,0),0)+IF(AO$7&lt;&gt;"",$X78,0)</f>
        <v>27.65</v>
      </c>
      <c r="AP78" s="482">
        <f t="shared" ref="AP78:AP109" si="147">IF(AP$3&lt;&gt;"",$W78,0)+IF(AP$4&lt;&gt;"",$U78,0)+IF(AP$5&lt;&gt;"",$Z78+IF($S78&lt;&gt;"102",$V78,0),0)+IF(AP$6&lt;&gt;"",$AA78+IF($S78="102",$V78,0),0)+IF(AP$7&lt;&gt;"",$X78,0)</f>
        <v>13.848333333333334</v>
      </c>
      <c r="AQ78" s="482">
        <f t="shared" ref="AQ78:AQ109" si="148">IF(AQ$3&lt;&gt;"",$W78,0)+IF(AQ$4&lt;&gt;"",$U78,0)+IF(AQ$5&lt;&gt;"",$Z78+IF($S78&lt;&gt;"102",$V78,0),0)+IF(AQ$6&lt;&gt;"",$AA78+IF($S78="102",$V78,0),0)+IF(AQ$7&lt;&gt;"",$X78,0)</f>
        <v>30.414999999999999</v>
      </c>
      <c r="AR78" s="482">
        <f t="shared" ref="AR78:AR109" si="149">IF(AR$3&lt;&gt;"",$W78,0)+IF(AR$4&lt;&gt;"",$U78,0)+IF(AR$5&lt;&gt;"",$Z78+IF($S78&lt;&gt;"102",$V78,0),0)+IF(AR$6&lt;&gt;"",$AA78+IF($S78="102",$V78,0),0)+IF(AR$7&lt;&gt;"",$X78,0)</f>
        <v>1.7066666666666668</v>
      </c>
      <c r="AS78" s="482">
        <f t="shared" ref="AS78:AS109" si="150">IF(AS$3&lt;&gt;"",$W78,0)+IF(AS$4&lt;&gt;"",$U78,0)+IF(AS$5&lt;&gt;"",$Z78+IF($S78&lt;&gt;"102",$V78,0),0)+IF(AS$6&lt;&gt;"",$AA78+IF($S78="102",$V78,0),0)+IF(AS$7&lt;&gt;"",$X78,0)</f>
        <v>18.273333333333333</v>
      </c>
      <c r="AT78" s="482">
        <f t="shared" ref="AT78:AT109" si="151">IF(AT$3&lt;&gt;"",$W78,0)+IF(AT$4&lt;&gt;"",$U78,0)+IF(AT$5&lt;&gt;"",$Z78+IF($S78&lt;&gt;"102",$V78,0),0)+IF(AT$6&lt;&gt;"",$AA78+IF($S78="102",$V78,0),0)+IF(AT$7&lt;&gt;"",$X78,0)</f>
        <v>4.4716666666666667</v>
      </c>
      <c r="AU78" s="482">
        <f t="shared" ref="AU78:AU109" si="152">IF(AU$3&lt;&gt;"",$W78,0)+IF(AU$4&lt;&gt;"",$U78,0)+IF(AU$5&lt;&gt;"",$Z78+IF($S78&lt;&gt;"102",$V78,0),0)+IF(AU$6&lt;&gt;"",$AA78+IF($S78="102",$V78,0),0)+IF(AU$7&lt;&gt;"",$X78,0)</f>
        <v>21.038333333333334</v>
      </c>
      <c r="AV78" s="482">
        <f t="shared" ref="AV78:AV109" si="153">IF(AV$3&lt;&gt;"",$W78,0)+IF(AV$4&lt;&gt;"",$U78,0)+IF(AV$5&lt;&gt;"",$Z78+IF($S78&lt;&gt;"102",$V78,0),0)+IF(AV$6&lt;&gt;"",$AA78+IF($S78="102",$V78,0),0)+IF(AV$7&lt;&gt;"",$X78,0)</f>
        <v>12.790000000000001</v>
      </c>
      <c r="AW78" s="482">
        <f t="shared" ref="AW78:AW109" si="154">IF(AW$3&lt;&gt;"",$W78,0)+IF(AW$4&lt;&gt;"",$U78,0)+IF(AW$5&lt;&gt;"",$Z78+IF($S78&lt;&gt;"102",$V78,0),0)+IF(AW$6&lt;&gt;"",$AA78+IF($S78="102",$V78,0),0)+IF(AW$7&lt;&gt;"",$X78,0)</f>
        <v>29.356666666666669</v>
      </c>
      <c r="AX78" s="482">
        <f t="shared" ref="AX78:AX109" si="155">IF(AX$3&lt;&gt;"",$W78,0)+IF(AX$4&lt;&gt;"",$U78,0)+IF(AX$5&lt;&gt;"",$Z78+IF($S78&lt;&gt;"102",$V78,0),0)+IF(AX$6&lt;&gt;"",$AA78+IF($S78="102",$V78,0),0)+IF(AX$7&lt;&gt;"",$X78,0)</f>
        <v>15.555000000000001</v>
      </c>
      <c r="AY78" s="482">
        <f t="shared" ref="AY78:AY109" si="156">IF(AY$3&lt;&gt;"",$W78,0)+IF(AY$4&lt;&gt;"",$U78,0)+IF(AY$5&lt;&gt;"",$Z78+IF($S78&lt;&gt;"102",$V78,0),0)+IF(AY$6&lt;&gt;"",$AA78+IF($S78="102",$V78,0),0)+IF(AY$7&lt;&gt;"",$X78,0)</f>
        <v>32.12166666666667</v>
      </c>
      <c r="AZ78" s="482">
        <f t="shared" ref="AZ78:AZ109" si="157">IF(AZ$3&lt;&gt;"",$W78,0)+IF(AZ$4&lt;&gt;"",$U78,0)+IF(AZ$5&lt;&gt;"",$Z78+IF($S78&lt;&gt;"102",$V78,0),0)+IF(AZ$6&lt;&gt;"",$AA78+IF($S78="102",$V78,0),0)+IF(AZ$7&lt;&gt;"",$X78,0)</f>
        <v>1.7066666666666668</v>
      </c>
      <c r="BA78" s="482">
        <f t="shared" ref="BA78:BA109" si="158">IF(BA$3&lt;&gt;"",$W78,0)+IF(BA$4&lt;&gt;"",$U78,0)+IF(BA$5&lt;&gt;"",$Z78+IF($S78&lt;&gt;"102",$V78,0),0)+IF(BA$6&lt;&gt;"",$AA78+IF($S78="102",$V78,0),0)+IF(BA$7&lt;&gt;"",$X78,0)</f>
        <v>18.273333333333333</v>
      </c>
      <c r="BB78" s="482">
        <f t="shared" ref="BB78:BB109" si="159">IF(BB$3&lt;&gt;"",$W78,0)+IF(BB$4&lt;&gt;"",$U78,0)+IF(BB$5&lt;&gt;"",$Z78+IF($S78&lt;&gt;"102",$V78,0),0)+IF(BB$6&lt;&gt;"",$AA78+IF($S78="102",$V78,0),0)+IF(BB$7&lt;&gt;"",$X78,0)</f>
        <v>4.4716666666666667</v>
      </c>
      <c r="BC78" s="482">
        <f t="shared" ref="BC78:BC109" si="160">IF(BC$3&lt;&gt;"",$W78,0)+IF(BC$4&lt;&gt;"",$U78,0)+IF(BC$5&lt;&gt;"",$Z78+IF($S78&lt;&gt;"102",$V78,0),0)+IF(BC$6&lt;&gt;"",$AA78+IF($S78="102",$V78,0),0)+IF(BC$7&lt;&gt;"",$X78,0)</f>
        <v>21.038333333333334</v>
      </c>
      <c r="BD78" s="482">
        <f t="shared" ref="BD78:BD109" si="161">IF(BD$3&lt;&gt;"",$W78,0)+IF(BD$4&lt;&gt;"",$U78,0)+IF(BD$5&lt;&gt;"",$Z78+IF($S78&lt;&gt;"102",$V78,0),0)+IF(BD$6&lt;&gt;"",$AA78+IF($S78="102",$V78,0),0)+IF(BD$7&lt;&gt;"",$X78,0)</f>
        <v>12.790000000000001</v>
      </c>
      <c r="BE78" s="482">
        <f t="shared" ref="BE78:BE109" si="162">IF(BE$3&lt;&gt;"",$W78,0)+IF(BE$4&lt;&gt;"",$U78,0)+IF(BE$5&lt;&gt;"",$Z78+IF($S78&lt;&gt;"102",$V78,0),0)+IF(BE$6&lt;&gt;"",$AA78+IF($S78="102",$V78,0),0)+IF(BE$7&lt;&gt;"",$X78,0)</f>
        <v>29.356666666666669</v>
      </c>
      <c r="BF78" s="482">
        <f t="shared" ref="BF78:BF109" si="163">IF(BF$3&lt;&gt;"",$W78,0)+IF(BF$4&lt;&gt;"",$U78,0)+IF(BF$5&lt;&gt;"",$Z78+IF($S78&lt;&gt;"102",$V78,0),0)+IF(BF$6&lt;&gt;"",$AA78+IF($S78="102",$V78,0),0)+IF(BF$7&lt;&gt;"",$X78,0)</f>
        <v>15.555000000000001</v>
      </c>
      <c r="BG78" s="482">
        <f t="shared" ref="BG78:BG109" si="164">IF(BG$3&lt;&gt;"",$W78,0)+IF(BG$4&lt;&gt;"",$U78,0)+IF(BG$5&lt;&gt;"",$Z78+IF($S78&lt;&gt;"102",$V78,0),0)+IF(BG$6&lt;&gt;"",$AA78+IF($S78="102",$V78,0),0)+IF(BG$7&lt;&gt;"",$X78,0)</f>
        <v>32.12166666666667</v>
      </c>
    </row>
    <row r="79" spans="1:59">
      <c r="A79" s="213" t="s">
        <v>5317</v>
      </c>
      <c r="B79" s="231">
        <v>608132875</v>
      </c>
      <c r="C79" s="210" t="s">
        <v>5284</v>
      </c>
      <c r="D79" s="210">
        <v>1800</v>
      </c>
      <c r="F79" s="239" t="str" cm="1">
        <f t="array" aca="1" ref="F79" ca="1">MID(met2utc(PEPSSI_Commanding[[#This Row],[MET]]),3,15)</f>
        <v>25-118/07:55:59</v>
      </c>
      <c r="G79" s="213" t="str">
        <f t="shared" si="115"/>
        <v>STAT+1800</v>
      </c>
      <c r="H79" s="214">
        <f t="shared" si="116"/>
        <v>608132866</v>
      </c>
      <c r="I79" s="214">
        <f t="shared" si="117"/>
        <v>608536086</v>
      </c>
      <c r="J79" s="213">
        <f t="shared" si="118"/>
        <v>13</v>
      </c>
      <c r="K79" s="213">
        <f t="shared" si="119"/>
        <v>3</v>
      </c>
      <c r="M79" s="210">
        <f t="shared" si="120"/>
        <v>120</v>
      </c>
      <c r="N79" s="210">
        <f t="shared" si="121"/>
        <v>120</v>
      </c>
      <c r="O79" s="210">
        <f t="shared" si="122"/>
        <v>7200</v>
      </c>
      <c r="P79" s="210">
        <f t="shared" si="123"/>
        <v>1800</v>
      </c>
      <c r="Q79" s="210" t="str">
        <f t="shared" si="124"/>
        <v/>
      </c>
      <c r="R79" s="210" t="str">
        <f t="shared" si="125"/>
        <v/>
      </c>
      <c r="S79" s="210" t="str">
        <f t="shared" si="126"/>
        <v/>
      </c>
      <c r="U79" s="482">
        <f t="shared" si="127"/>
        <v>0</v>
      </c>
      <c r="V79" s="482">
        <f t="shared" si="128"/>
        <v>0</v>
      </c>
      <c r="W79" s="482">
        <f t="shared" si="129"/>
        <v>0.28444444444444444</v>
      </c>
      <c r="X79" s="482">
        <f t="shared" si="130"/>
        <v>16.566666666666666</v>
      </c>
      <c r="Y79" s="482">
        <f t="shared" si="131"/>
        <v>11.083333333333334</v>
      </c>
      <c r="Z79" s="482">
        <f t="shared" si="132"/>
        <v>11.083333333333334</v>
      </c>
      <c r="AA79" s="482">
        <f t="shared" si="133"/>
        <v>2.7650000000000001</v>
      </c>
      <c r="AB79" s="243"/>
      <c r="AC79" s="482">
        <f t="shared" si="134"/>
        <v>16.566666666666666</v>
      </c>
      <c r="AD79" s="482">
        <f t="shared" si="135"/>
        <v>2.7650000000000001</v>
      </c>
      <c r="AE79" s="482">
        <f t="shared" si="136"/>
        <v>19.331666666666667</v>
      </c>
      <c r="AF79" s="482">
        <f t="shared" si="137"/>
        <v>11.083333333333334</v>
      </c>
      <c r="AG79" s="482">
        <f t="shared" si="138"/>
        <v>27.65</v>
      </c>
      <c r="AH79" s="482">
        <f t="shared" si="139"/>
        <v>13.848333333333334</v>
      </c>
      <c r="AI79" s="482">
        <f t="shared" si="140"/>
        <v>30.414999999999999</v>
      </c>
      <c r="AJ79" s="482">
        <f t="shared" si="141"/>
        <v>0</v>
      </c>
      <c r="AK79" s="482">
        <f t="shared" si="142"/>
        <v>16.566666666666666</v>
      </c>
      <c r="AL79" s="482">
        <f t="shared" si="143"/>
        <v>2.7650000000000001</v>
      </c>
      <c r="AM79" s="482">
        <f t="shared" si="144"/>
        <v>19.331666666666667</v>
      </c>
      <c r="AN79" s="482">
        <f t="shared" si="145"/>
        <v>11.083333333333334</v>
      </c>
      <c r="AO79" s="482">
        <f t="shared" si="146"/>
        <v>27.65</v>
      </c>
      <c r="AP79" s="482">
        <f t="shared" si="147"/>
        <v>13.848333333333334</v>
      </c>
      <c r="AQ79" s="482">
        <f t="shared" si="148"/>
        <v>30.414999999999999</v>
      </c>
      <c r="AR79" s="482">
        <f t="shared" si="149"/>
        <v>0.28444444444444444</v>
      </c>
      <c r="AS79" s="482">
        <f t="shared" si="150"/>
        <v>16.851111111111109</v>
      </c>
      <c r="AT79" s="482">
        <f t="shared" si="151"/>
        <v>3.0494444444444446</v>
      </c>
      <c r="AU79" s="482">
        <f t="shared" si="152"/>
        <v>19.61611111111111</v>
      </c>
      <c r="AV79" s="482">
        <f t="shared" si="153"/>
        <v>11.367777777777778</v>
      </c>
      <c r="AW79" s="482">
        <f t="shared" si="154"/>
        <v>27.934444444444445</v>
      </c>
      <c r="AX79" s="482">
        <f t="shared" si="155"/>
        <v>14.132777777777779</v>
      </c>
      <c r="AY79" s="482">
        <f t="shared" si="156"/>
        <v>30.699444444444445</v>
      </c>
      <c r="AZ79" s="482">
        <f t="shared" si="157"/>
        <v>0.28444444444444444</v>
      </c>
      <c r="BA79" s="482">
        <f t="shared" si="158"/>
        <v>16.851111111111109</v>
      </c>
      <c r="BB79" s="482">
        <f t="shared" si="159"/>
        <v>3.0494444444444446</v>
      </c>
      <c r="BC79" s="482">
        <f t="shared" si="160"/>
        <v>19.61611111111111</v>
      </c>
      <c r="BD79" s="482">
        <f t="shared" si="161"/>
        <v>11.367777777777778</v>
      </c>
      <c r="BE79" s="482">
        <f t="shared" si="162"/>
        <v>27.934444444444445</v>
      </c>
      <c r="BF79" s="482">
        <f t="shared" si="163"/>
        <v>14.132777777777779</v>
      </c>
      <c r="BG79" s="482">
        <f t="shared" si="164"/>
        <v>30.699444444444445</v>
      </c>
    </row>
    <row r="80" spans="1:59">
      <c r="A80" s="213" t="s">
        <v>5315</v>
      </c>
      <c r="B80" s="231">
        <v>608133476</v>
      </c>
      <c r="C80" s="210" t="s">
        <v>5285</v>
      </c>
      <c r="D80" s="210">
        <v>101</v>
      </c>
      <c r="F80" s="239" t="str" cm="1">
        <f t="array" aca="1" ref="F80" ca="1">MID(met2utc(PEPSSI_Commanding[[#This Row],[MET]]),3,15)</f>
        <v>25-118/08:06:00</v>
      </c>
      <c r="G80" s="213" t="str">
        <f t="shared" si="115"/>
        <v>MAC+101</v>
      </c>
      <c r="H80" s="214">
        <f t="shared" si="116"/>
        <v>608132866</v>
      </c>
      <c r="I80" s="214">
        <f t="shared" si="117"/>
        <v>608536086</v>
      </c>
      <c r="J80" s="213">
        <f t="shared" si="118"/>
        <v>14</v>
      </c>
      <c r="K80" s="213">
        <f t="shared" si="119"/>
        <v>2</v>
      </c>
      <c r="M80" s="210">
        <f t="shared" si="120"/>
        <v>120</v>
      </c>
      <c r="N80" s="210">
        <f t="shared" si="121"/>
        <v>120</v>
      </c>
      <c r="O80" s="210">
        <f t="shared" si="122"/>
        <v>7200</v>
      </c>
      <c r="P80" s="210">
        <f t="shared" si="123"/>
        <v>1800</v>
      </c>
      <c r="Q80" s="210" t="str">
        <f t="shared" si="124"/>
        <v/>
      </c>
      <c r="R80" s="210">
        <f t="shared" si="125"/>
        <v>600</v>
      </c>
      <c r="S80" s="210" t="str">
        <f t="shared" si="126"/>
        <v/>
      </c>
      <c r="U80" s="482">
        <f t="shared" si="127"/>
        <v>7.3437500000000003E-2</v>
      </c>
      <c r="V80" s="482">
        <f t="shared" si="128"/>
        <v>0.3046875</v>
      </c>
      <c r="W80" s="482">
        <f t="shared" si="129"/>
        <v>0.28444444444444444</v>
      </c>
      <c r="X80" s="482">
        <f t="shared" si="130"/>
        <v>16.566666666666666</v>
      </c>
      <c r="Y80" s="482">
        <f t="shared" si="131"/>
        <v>11.083333333333334</v>
      </c>
      <c r="Z80" s="482">
        <f t="shared" si="132"/>
        <v>0.15393518518518517</v>
      </c>
      <c r="AA80" s="482">
        <f t="shared" si="133"/>
        <v>2.7650000000000001</v>
      </c>
      <c r="AB80" s="243"/>
      <c r="AC80" s="482">
        <f t="shared" si="134"/>
        <v>16.566666666666666</v>
      </c>
      <c r="AD80" s="482">
        <f t="shared" si="135"/>
        <v>2.7650000000000001</v>
      </c>
      <c r="AE80" s="482">
        <f t="shared" si="136"/>
        <v>19.331666666666667</v>
      </c>
      <c r="AF80" s="482">
        <f t="shared" si="137"/>
        <v>0.45862268518518517</v>
      </c>
      <c r="AG80" s="482">
        <f t="shared" si="138"/>
        <v>17.025289351851853</v>
      </c>
      <c r="AH80" s="482">
        <f t="shared" si="139"/>
        <v>3.2236226851851852</v>
      </c>
      <c r="AI80" s="482">
        <f t="shared" si="140"/>
        <v>19.79028935185185</v>
      </c>
      <c r="AJ80" s="482">
        <f t="shared" si="141"/>
        <v>7.3437500000000003E-2</v>
      </c>
      <c r="AK80" s="482">
        <f t="shared" si="142"/>
        <v>16.640104166666667</v>
      </c>
      <c r="AL80" s="482">
        <f t="shared" si="143"/>
        <v>2.8384374999999999</v>
      </c>
      <c r="AM80" s="482">
        <f t="shared" si="144"/>
        <v>19.405104166666668</v>
      </c>
      <c r="AN80" s="482">
        <f t="shared" si="145"/>
        <v>0.53206018518518516</v>
      </c>
      <c r="AO80" s="482">
        <f t="shared" si="146"/>
        <v>17.09872685185185</v>
      </c>
      <c r="AP80" s="482">
        <f t="shared" si="147"/>
        <v>3.2970601851851855</v>
      </c>
      <c r="AQ80" s="482">
        <f t="shared" si="148"/>
        <v>19.863726851851851</v>
      </c>
      <c r="AR80" s="482">
        <f t="shared" si="149"/>
        <v>0.28444444444444444</v>
      </c>
      <c r="AS80" s="482">
        <f t="shared" si="150"/>
        <v>16.851111111111109</v>
      </c>
      <c r="AT80" s="482">
        <f t="shared" si="151"/>
        <v>3.0494444444444446</v>
      </c>
      <c r="AU80" s="482">
        <f t="shared" si="152"/>
        <v>19.61611111111111</v>
      </c>
      <c r="AV80" s="482">
        <f t="shared" si="153"/>
        <v>0.74306712962962962</v>
      </c>
      <c r="AW80" s="482">
        <f t="shared" si="154"/>
        <v>17.309733796296296</v>
      </c>
      <c r="AX80" s="482">
        <f t="shared" si="155"/>
        <v>3.5080671296296297</v>
      </c>
      <c r="AY80" s="482">
        <f t="shared" si="156"/>
        <v>20.074733796296297</v>
      </c>
      <c r="AZ80" s="482">
        <f t="shared" si="157"/>
        <v>0.35788194444444443</v>
      </c>
      <c r="BA80" s="482">
        <f t="shared" si="158"/>
        <v>16.92454861111111</v>
      </c>
      <c r="BB80" s="482">
        <f t="shared" si="159"/>
        <v>3.1228819444444444</v>
      </c>
      <c r="BC80" s="482">
        <f t="shared" si="160"/>
        <v>19.68954861111111</v>
      </c>
      <c r="BD80" s="482">
        <f t="shared" si="161"/>
        <v>0.81650462962962966</v>
      </c>
      <c r="BE80" s="482">
        <f t="shared" si="162"/>
        <v>17.383171296296297</v>
      </c>
      <c r="BF80" s="482">
        <f t="shared" si="163"/>
        <v>3.58150462962963</v>
      </c>
      <c r="BG80" s="482">
        <f t="shared" si="164"/>
        <v>20.148171296296297</v>
      </c>
    </row>
    <row r="81" spans="1:59">
      <c r="A81" s="213" t="s">
        <v>5315</v>
      </c>
      <c r="B81" s="231">
        <v>608137076</v>
      </c>
      <c r="C81" s="210" t="s">
        <v>5285</v>
      </c>
      <c r="D81" s="210">
        <v>102</v>
      </c>
      <c r="F81" s="239" t="str" cm="1">
        <f t="array" aca="1" ref="F81" ca="1">MID(met2utc(PEPSSI_Commanding[[#This Row],[MET]]),3,15)</f>
        <v>25-118/09:06:00</v>
      </c>
      <c r="G81" s="213" t="str">
        <f t="shared" si="115"/>
        <v>MAC+102</v>
      </c>
      <c r="H81" s="214">
        <f t="shared" si="116"/>
        <v>608132866</v>
      </c>
      <c r="I81" s="214">
        <f t="shared" si="117"/>
        <v>608536086</v>
      </c>
      <c r="J81" s="213">
        <f t="shared" si="118"/>
        <v>15</v>
      </c>
      <c r="K81" s="213">
        <f t="shared" si="119"/>
        <v>1</v>
      </c>
      <c r="M81" s="210">
        <f t="shared" si="120"/>
        <v>120</v>
      </c>
      <c r="N81" s="210">
        <f t="shared" si="121"/>
        <v>120</v>
      </c>
      <c r="O81" s="210">
        <f t="shared" si="122"/>
        <v>7200</v>
      </c>
      <c r="P81" s="210">
        <f t="shared" si="123"/>
        <v>1800</v>
      </c>
      <c r="Q81" s="210" t="str">
        <f t="shared" si="124"/>
        <v/>
      </c>
      <c r="R81" s="210">
        <f t="shared" si="125"/>
        <v>600</v>
      </c>
      <c r="S81" s="210" t="str">
        <f t="shared" si="126"/>
        <v>102</v>
      </c>
      <c r="U81" s="482">
        <f t="shared" si="127"/>
        <v>7.3437500000000003E-2</v>
      </c>
      <c r="V81" s="482">
        <f t="shared" si="128"/>
        <v>0.3046875</v>
      </c>
      <c r="W81" s="482">
        <f t="shared" si="129"/>
        <v>0.28444444444444444</v>
      </c>
      <c r="X81" s="482">
        <f t="shared" si="130"/>
        <v>16.566666666666666</v>
      </c>
      <c r="Y81" s="482">
        <f t="shared" si="131"/>
        <v>11.083333333333334</v>
      </c>
      <c r="Z81" s="482">
        <f t="shared" si="132"/>
        <v>0.15393518518518517</v>
      </c>
      <c r="AA81" s="482">
        <f t="shared" si="133"/>
        <v>2.7650000000000001</v>
      </c>
      <c r="AB81" s="243"/>
      <c r="AC81" s="482">
        <f t="shared" si="134"/>
        <v>16.566666666666666</v>
      </c>
      <c r="AD81" s="482">
        <f t="shared" si="135"/>
        <v>3.0696875000000001</v>
      </c>
      <c r="AE81" s="482">
        <f t="shared" si="136"/>
        <v>19.636354166666667</v>
      </c>
      <c r="AF81" s="482">
        <f t="shared" si="137"/>
        <v>0.15393518518518517</v>
      </c>
      <c r="AG81" s="482">
        <f t="shared" si="138"/>
        <v>16.720601851851853</v>
      </c>
      <c r="AH81" s="482">
        <f t="shared" si="139"/>
        <v>3.2236226851851852</v>
      </c>
      <c r="AI81" s="482">
        <f t="shared" si="140"/>
        <v>19.79028935185185</v>
      </c>
      <c r="AJ81" s="482">
        <f t="shared" si="141"/>
        <v>7.3437500000000003E-2</v>
      </c>
      <c r="AK81" s="482">
        <f t="shared" si="142"/>
        <v>16.640104166666667</v>
      </c>
      <c r="AL81" s="482">
        <f t="shared" si="143"/>
        <v>3.1431249999999999</v>
      </c>
      <c r="AM81" s="482">
        <f t="shared" si="144"/>
        <v>19.709791666666668</v>
      </c>
      <c r="AN81" s="482">
        <f t="shared" si="145"/>
        <v>0.22737268518518516</v>
      </c>
      <c r="AO81" s="482">
        <f t="shared" si="146"/>
        <v>16.79403935185185</v>
      </c>
      <c r="AP81" s="482">
        <f t="shared" si="147"/>
        <v>3.2970601851851855</v>
      </c>
      <c r="AQ81" s="482">
        <f t="shared" si="148"/>
        <v>19.863726851851851</v>
      </c>
      <c r="AR81" s="482">
        <f t="shared" si="149"/>
        <v>0.28444444444444444</v>
      </c>
      <c r="AS81" s="482">
        <f t="shared" si="150"/>
        <v>16.851111111111109</v>
      </c>
      <c r="AT81" s="482">
        <f t="shared" si="151"/>
        <v>3.3541319444444446</v>
      </c>
      <c r="AU81" s="482">
        <f t="shared" si="152"/>
        <v>19.92079861111111</v>
      </c>
      <c r="AV81" s="482">
        <f t="shared" si="153"/>
        <v>0.43837962962962962</v>
      </c>
      <c r="AW81" s="482">
        <f t="shared" si="154"/>
        <v>17.005046296296296</v>
      </c>
      <c r="AX81" s="482">
        <f t="shared" si="155"/>
        <v>3.5080671296296297</v>
      </c>
      <c r="AY81" s="482">
        <f t="shared" si="156"/>
        <v>20.074733796296297</v>
      </c>
      <c r="AZ81" s="482">
        <f t="shared" si="157"/>
        <v>0.35788194444444443</v>
      </c>
      <c r="BA81" s="482">
        <f t="shared" si="158"/>
        <v>16.92454861111111</v>
      </c>
      <c r="BB81" s="482">
        <f t="shared" si="159"/>
        <v>3.4275694444444444</v>
      </c>
      <c r="BC81" s="482">
        <f t="shared" si="160"/>
        <v>19.99423611111111</v>
      </c>
      <c r="BD81" s="482">
        <f t="shared" si="161"/>
        <v>0.51181712962962966</v>
      </c>
      <c r="BE81" s="482">
        <f t="shared" si="162"/>
        <v>17.078483796296297</v>
      </c>
      <c r="BF81" s="482">
        <f t="shared" si="163"/>
        <v>3.58150462962963</v>
      </c>
      <c r="BG81" s="482">
        <f t="shared" si="164"/>
        <v>20.148171296296297</v>
      </c>
    </row>
    <row r="82" spans="1:59">
      <c r="A82" s="213" t="s">
        <v>5314</v>
      </c>
      <c r="B82" s="231">
        <v>608536086</v>
      </c>
      <c r="C82" s="210" t="s">
        <v>5318</v>
      </c>
      <c r="F82" s="239" t="str" cm="1">
        <f t="array" aca="1" ref="F82" ca="1">MID(met2utc(PEPSSI_Commanding[[#This Row],[MET]]),3,15)</f>
        <v>25-122/23:56:10</v>
      </c>
      <c r="G82" s="213" t="str">
        <f t="shared" si="115"/>
        <v>OFF</v>
      </c>
      <c r="H82" s="214">
        <f t="shared" si="116"/>
        <v>608132866</v>
      </c>
      <c r="I82" s="214">
        <f t="shared" si="117"/>
        <v>608536086</v>
      </c>
      <c r="J82" s="213">
        <f t="shared" si="118"/>
        <v>16</v>
      </c>
      <c r="K82" s="213">
        <f t="shared" si="119"/>
        <v>0</v>
      </c>
      <c r="M82" s="210">
        <f t="shared" si="120"/>
        <v>120</v>
      </c>
      <c r="N82" s="210">
        <f t="shared" si="121"/>
        <v>120</v>
      </c>
      <c r="O82" s="210">
        <f t="shared" si="122"/>
        <v>7200</v>
      </c>
      <c r="P82" s="210">
        <f t="shared" si="123"/>
        <v>1800</v>
      </c>
      <c r="Q82" s="210" t="str">
        <f t="shared" si="124"/>
        <v/>
      </c>
      <c r="R82" s="210">
        <f t="shared" si="125"/>
        <v>600</v>
      </c>
      <c r="S82" s="210" t="str">
        <f t="shared" si="126"/>
        <v>102</v>
      </c>
      <c r="U82" s="482">
        <f t="shared" si="127"/>
        <v>7.3437500000000003E-2</v>
      </c>
      <c r="V82" s="482">
        <f t="shared" si="128"/>
        <v>0.3046875</v>
      </c>
      <c r="W82" s="482">
        <f t="shared" si="129"/>
        <v>0.28444444444444444</v>
      </c>
      <c r="X82" s="482">
        <f t="shared" si="130"/>
        <v>16.566666666666666</v>
      </c>
      <c r="Y82" s="482">
        <f t="shared" si="131"/>
        <v>11.083333333333334</v>
      </c>
      <c r="Z82" s="482">
        <f t="shared" si="132"/>
        <v>0.15393518518518517</v>
      </c>
      <c r="AA82" s="482">
        <f t="shared" si="133"/>
        <v>2.7650000000000001</v>
      </c>
      <c r="AB82" s="243"/>
      <c r="AC82" s="482">
        <f t="shared" si="134"/>
        <v>16.566666666666666</v>
      </c>
      <c r="AD82" s="482">
        <f t="shared" si="135"/>
        <v>3.0696875000000001</v>
      </c>
      <c r="AE82" s="482">
        <f t="shared" si="136"/>
        <v>19.636354166666667</v>
      </c>
      <c r="AF82" s="482">
        <f t="shared" si="137"/>
        <v>0.15393518518518517</v>
      </c>
      <c r="AG82" s="482">
        <f t="shared" si="138"/>
        <v>16.720601851851853</v>
      </c>
      <c r="AH82" s="482">
        <f t="shared" si="139"/>
        <v>3.2236226851851852</v>
      </c>
      <c r="AI82" s="482">
        <f t="shared" si="140"/>
        <v>19.79028935185185</v>
      </c>
      <c r="AJ82" s="482">
        <f t="shared" si="141"/>
        <v>7.3437500000000003E-2</v>
      </c>
      <c r="AK82" s="482">
        <f t="shared" si="142"/>
        <v>16.640104166666667</v>
      </c>
      <c r="AL82" s="482">
        <f t="shared" si="143"/>
        <v>3.1431249999999999</v>
      </c>
      <c r="AM82" s="482">
        <f t="shared" si="144"/>
        <v>19.709791666666668</v>
      </c>
      <c r="AN82" s="482">
        <f t="shared" si="145"/>
        <v>0.22737268518518516</v>
      </c>
      <c r="AO82" s="482">
        <f t="shared" si="146"/>
        <v>16.79403935185185</v>
      </c>
      <c r="AP82" s="482">
        <f t="shared" si="147"/>
        <v>3.2970601851851855</v>
      </c>
      <c r="AQ82" s="482">
        <f t="shared" si="148"/>
        <v>19.863726851851851</v>
      </c>
      <c r="AR82" s="482">
        <f t="shared" si="149"/>
        <v>0.28444444444444444</v>
      </c>
      <c r="AS82" s="482">
        <f t="shared" si="150"/>
        <v>16.851111111111109</v>
      </c>
      <c r="AT82" s="482">
        <f t="shared" si="151"/>
        <v>3.3541319444444446</v>
      </c>
      <c r="AU82" s="482">
        <f t="shared" si="152"/>
        <v>19.92079861111111</v>
      </c>
      <c r="AV82" s="482">
        <f t="shared" si="153"/>
        <v>0.43837962962962962</v>
      </c>
      <c r="AW82" s="482">
        <f t="shared" si="154"/>
        <v>17.005046296296296</v>
      </c>
      <c r="AX82" s="482">
        <f t="shared" si="155"/>
        <v>3.5080671296296297</v>
      </c>
      <c r="AY82" s="482">
        <f t="shared" si="156"/>
        <v>20.074733796296297</v>
      </c>
      <c r="AZ82" s="482">
        <f t="shared" si="157"/>
        <v>0.35788194444444443</v>
      </c>
      <c r="BA82" s="482">
        <f t="shared" si="158"/>
        <v>16.92454861111111</v>
      </c>
      <c r="BB82" s="482">
        <f t="shared" si="159"/>
        <v>3.4275694444444444</v>
      </c>
      <c r="BC82" s="482">
        <f t="shared" si="160"/>
        <v>19.99423611111111</v>
      </c>
      <c r="BD82" s="482">
        <f t="shared" si="161"/>
        <v>0.51181712962962966</v>
      </c>
      <c r="BE82" s="482">
        <f t="shared" si="162"/>
        <v>17.078483796296297</v>
      </c>
      <c r="BF82" s="482">
        <f t="shared" si="163"/>
        <v>3.58150462962963</v>
      </c>
      <c r="BG82" s="482">
        <f t="shared" si="164"/>
        <v>20.148171296296297</v>
      </c>
    </row>
    <row r="83" spans="1:59">
      <c r="A83" s="213" t="s">
        <v>5314</v>
      </c>
      <c r="B83" s="231">
        <v>608566016</v>
      </c>
      <c r="C83" s="210" t="s">
        <v>433</v>
      </c>
      <c r="F83" s="239" t="str" cm="1">
        <f t="array" aca="1" ref="F83" ca="1">MID(met2utc(PEPSSI_Commanding[[#This Row],[MET]]),3,15)</f>
        <v>25-123/08:15:00</v>
      </c>
      <c r="G83" s="213" t="str">
        <f t="shared" si="115"/>
        <v>ON</v>
      </c>
      <c r="H83" s="214">
        <f t="shared" si="116"/>
        <v>608566016</v>
      </c>
      <c r="I83" s="214">
        <f t="shared" si="117"/>
        <v>608567866</v>
      </c>
      <c r="J83" s="213">
        <f t="shared" si="118"/>
        <v>0</v>
      </c>
      <c r="K83" s="213">
        <f t="shared" si="119"/>
        <v>10</v>
      </c>
      <c r="M83" s="210" t="str">
        <f t="shared" si="120"/>
        <v/>
      </c>
      <c r="N83" s="210" t="str">
        <f t="shared" si="121"/>
        <v/>
      </c>
      <c r="O83" s="210" t="str">
        <f t="shared" si="122"/>
        <v/>
      </c>
      <c r="P83" s="210" t="str">
        <f t="shared" si="123"/>
        <v/>
      </c>
      <c r="Q83" s="210" t="str">
        <f t="shared" si="124"/>
        <v/>
      </c>
      <c r="R83" s="210" t="str">
        <f t="shared" si="125"/>
        <v/>
      </c>
      <c r="S83" s="210" t="str">
        <f t="shared" si="126"/>
        <v/>
      </c>
      <c r="U83" s="482">
        <f t="shared" si="127"/>
        <v>0</v>
      </c>
      <c r="V83" s="482">
        <f t="shared" si="128"/>
        <v>0</v>
      </c>
      <c r="W83" s="482">
        <f t="shared" si="129"/>
        <v>0</v>
      </c>
      <c r="X83" s="482">
        <f t="shared" si="130"/>
        <v>0</v>
      </c>
      <c r="Y83" s="482">
        <f t="shared" si="131"/>
        <v>0</v>
      </c>
      <c r="Z83" s="482">
        <f t="shared" si="132"/>
        <v>0</v>
      </c>
      <c r="AA83" s="482">
        <f t="shared" si="133"/>
        <v>0</v>
      </c>
      <c r="AB83" s="243"/>
      <c r="AC83" s="482">
        <f t="shared" si="134"/>
        <v>0</v>
      </c>
      <c r="AD83" s="482">
        <f t="shared" si="135"/>
        <v>0</v>
      </c>
      <c r="AE83" s="482">
        <f t="shared" si="136"/>
        <v>0</v>
      </c>
      <c r="AF83" s="482">
        <f t="shared" si="137"/>
        <v>0</v>
      </c>
      <c r="AG83" s="482">
        <f t="shared" si="138"/>
        <v>0</v>
      </c>
      <c r="AH83" s="482">
        <f t="shared" si="139"/>
        <v>0</v>
      </c>
      <c r="AI83" s="482">
        <f t="shared" si="140"/>
        <v>0</v>
      </c>
      <c r="AJ83" s="482">
        <f t="shared" si="141"/>
        <v>0</v>
      </c>
      <c r="AK83" s="482">
        <f t="shared" si="142"/>
        <v>0</v>
      </c>
      <c r="AL83" s="482">
        <f t="shared" si="143"/>
        <v>0</v>
      </c>
      <c r="AM83" s="482">
        <f t="shared" si="144"/>
        <v>0</v>
      </c>
      <c r="AN83" s="482">
        <f t="shared" si="145"/>
        <v>0</v>
      </c>
      <c r="AO83" s="482">
        <f t="shared" si="146"/>
        <v>0</v>
      </c>
      <c r="AP83" s="482">
        <f t="shared" si="147"/>
        <v>0</v>
      </c>
      <c r="AQ83" s="482">
        <f t="shared" si="148"/>
        <v>0</v>
      </c>
      <c r="AR83" s="482">
        <f t="shared" si="149"/>
        <v>0</v>
      </c>
      <c r="AS83" s="482">
        <f t="shared" si="150"/>
        <v>0</v>
      </c>
      <c r="AT83" s="482">
        <f t="shared" si="151"/>
        <v>0</v>
      </c>
      <c r="AU83" s="482">
        <f t="shared" si="152"/>
        <v>0</v>
      </c>
      <c r="AV83" s="482">
        <f t="shared" si="153"/>
        <v>0</v>
      </c>
      <c r="AW83" s="482">
        <f t="shared" si="154"/>
        <v>0</v>
      </c>
      <c r="AX83" s="482">
        <f t="shared" si="155"/>
        <v>0</v>
      </c>
      <c r="AY83" s="482">
        <f t="shared" si="156"/>
        <v>0</v>
      </c>
      <c r="AZ83" s="482">
        <f t="shared" si="157"/>
        <v>0</v>
      </c>
      <c r="BA83" s="482">
        <f t="shared" si="158"/>
        <v>0</v>
      </c>
      <c r="BB83" s="482">
        <f t="shared" si="159"/>
        <v>0</v>
      </c>
      <c r="BC83" s="482">
        <f t="shared" si="160"/>
        <v>0</v>
      </c>
      <c r="BD83" s="482">
        <f t="shared" si="161"/>
        <v>0</v>
      </c>
      <c r="BE83" s="482">
        <f t="shared" si="162"/>
        <v>0</v>
      </c>
      <c r="BF83" s="482">
        <f t="shared" si="163"/>
        <v>0</v>
      </c>
      <c r="BG83" s="482">
        <f t="shared" si="164"/>
        <v>0</v>
      </c>
    </row>
    <row r="84" spans="1:59">
      <c r="A84" s="213" t="s">
        <v>5315</v>
      </c>
      <c r="B84" s="231">
        <v>608566061</v>
      </c>
      <c r="C84" s="210" t="s">
        <v>5285</v>
      </c>
      <c r="D84" s="210">
        <v>10</v>
      </c>
      <c r="F84" s="239" t="str" cm="1">
        <f t="array" aca="1" ref="F84" ca="1">MID(met2utc(PEPSSI_Commanding[[#This Row],[MET]]),3,15)</f>
        <v>25-123/08:15:45</v>
      </c>
      <c r="G84" s="213" t="str">
        <f t="shared" si="115"/>
        <v>MAC+10</v>
      </c>
      <c r="H84" s="214">
        <f t="shared" si="116"/>
        <v>608566016</v>
      </c>
      <c r="I84" s="214">
        <f t="shared" si="117"/>
        <v>608567866</v>
      </c>
      <c r="J84" s="213">
        <f t="shared" si="118"/>
        <v>1</v>
      </c>
      <c r="K84" s="213">
        <f t="shared" si="119"/>
        <v>9</v>
      </c>
      <c r="M84" s="210" t="str">
        <f t="shared" si="120"/>
        <v/>
      </c>
      <c r="N84" s="210" t="str">
        <f t="shared" si="121"/>
        <v/>
      </c>
      <c r="O84" s="210" t="str">
        <f t="shared" si="122"/>
        <v/>
      </c>
      <c r="P84" s="210" t="str">
        <f t="shared" si="123"/>
        <v/>
      </c>
      <c r="Q84" s="210" t="str">
        <f t="shared" si="124"/>
        <v/>
      </c>
      <c r="R84" s="210" t="str">
        <f t="shared" si="125"/>
        <v/>
      </c>
      <c r="S84" s="210" t="str">
        <f t="shared" si="126"/>
        <v/>
      </c>
      <c r="U84" s="482">
        <f t="shared" si="127"/>
        <v>0</v>
      </c>
      <c r="V84" s="482">
        <f t="shared" si="128"/>
        <v>0</v>
      </c>
      <c r="W84" s="482">
        <f t="shared" si="129"/>
        <v>0</v>
      </c>
      <c r="X84" s="482">
        <f t="shared" si="130"/>
        <v>0</v>
      </c>
      <c r="Y84" s="482">
        <f t="shared" si="131"/>
        <v>0</v>
      </c>
      <c r="Z84" s="482">
        <f t="shared" si="132"/>
        <v>0</v>
      </c>
      <c r="AA84" s="482">
        <f t="shared" si="133"/>
        <v>0</v>
      </c>
      <c r="AB84" s="243"/>
      <c r="AC84" s="482">
        <f t="shared" si="134"/>
        <v>0</v>
      </c>
      <c r="AD84" s="482">
        <f t="shared" si="135"/>
        <v>0</v>
      </c>
      <c r="AE84" s="482">
        <f t="shared" si="136"/>
        <v>0</v>
      </c>
      <c r="AF84" s="482">
        <f t="shared" si="137"/>
        <v>0</v>
      </c>
      <c r="AG84" s="482">
        <f t="shared" si="138"/>
        <v>0</v>
      </c>
      <c r="AH84" s="482">
        <f t="shared" si="139"/>
        <v>0</v>
      </c>
      <c r="AI84" s="482">
        <f t="shared" si="140"/>
        <v>0</v>
      </c>
      <c r="AJ84" s="482">
        <f t="shared" si="141"/>
        <v>0</v>
      </c>
      <c r="AK84" s="482">
        <f t="shared" si="142"/>
        <v>0</v>
      </c>
      <c r="AL84" s="482">
        <f t="shared" si="143"/>
        <v>0</v>
      </c>
      <c r="AM84" s="482">
        <f t="shared" si="144"/>
        <v>0</v>
      </c>
      <c r="AN84" s="482">
        <f t="shared" si="145"/>
        <v>0</v>
      </c>
      <c r="AO84" s="482">
        <f t="shared" si="146"/>
        <v>0</v>
      </c>
      <c r="AP84" s="482">
        <f t="shared" si="147"/>
        <v>0</v>
      </c>
      <c r="AQ84" s="482">
        <f t="shared" si="148"/>
        <v>0</v>
      </c>
      <c r="AR84" s="482">
        <f t="shared" si="149"/>
        <v>0</v>
      </c>
      <c r="AS84" s="482">
        <f t="shared" si="150"/>
        <v>0</v>
      </c>
      <c r="AT84" s="482">
        <f t="shared" si="151"/>
        <v>0</v>
      </c>
      <c r="AU84" s="482">
        <f t="shared" si="152"/>
        <v>0</v>
      </c>
      <c r="AV84" s="482">
        <f t="shared" si="153"/>
        <v>0</v>
      </c>
      <c r="AW84" s="482">
        <f t="shared" si="154"/>
        <v>0</v>
      </c>
      <c r="AX84" s="482">
        <f t="shared" si="155"/>
        <v>0</v>
      </c>
      <c r="AY84" s="482">
        <f t="shared" si="156"/>
        <v>0</v>
      </c>
      <c r="AZ84" s="482">
        <f t="shared" si="157"/>
        <v>0</v>
      </c>
      <c r="BA84" s="482">
        <f t="shared" si="158"/>
        <v>0</v>
      </c>
      <c r="BB84" s="482">
        <f t="shared" si="159"/>
        <v>0</v>
      </c>
      <c r="BC84" s="482">
        <f t="shared" si="160"/>
        <v>0</v>
      </c>
      <c r="BD84" s="482">
        <f t="shared" si="161"/>
        <v>0</v>
      </c>
      <c r="BE84" s="482">
        <f t="shared" si="162"/>
        <v>0</v>
      </c>
      <c r="BF84" s="482">
        <f t="shared" si="163"/>
        <v>0</v>
      </c>
      <c r="BG84" s="482">
        <f t="shared" si="164"/>
        <v>0</v>
      </c>
    </row>
    <row r="85" spans="1:59">
      <c r="A85" s="213" t="s">
        <v>5316</v>
      </c>
      <c r="B85" s="231">
        <v>608566061</v>
      </c>
      <c r="C85" s="210" t="s">
        <v>61</v>
      </c>
      <c r="D85" s="210">
        <v>10</v>
      </c>
      <c r="F85" s="239" t="str" cm="1">
        <f t="array" aca="1" ref="F85" ca="1">MID(met2utc(PEPSSI_Commanding[[#This Row],[MET]]),3,15)</f>
        <v>25-123/08:15:45</v>
      </c>
      <c r="G85" s="213" t="str">
        <f t="shared" si="115"/>
        <v>N2+10</v>
      </c>
      <c r="H85" s="214">
        <f t="shared" si="116"/>
        <v>608566016</v>
      </c>
      <c r="I85" s="214">
        <f t="shared" si="117"/>
        <v>608567866</v>
      </c>
      <c r="J85" s="213">
        <f t="shared" si="118"/>
        <v>2</v>
      </c>
      <c r="K85" s="213">
        <f t="shared" si="119"/>
        <v>8</v>
      </c>
      <c r="M85" s="210" t="str">
        <f t="shared" si="120"/>
        <v/>
      </c>
      <c r="N85" s="210">
        <f t="shared" si="121"/>
        <v>10</v>
      </c>
      <c r="O85" s="210" t="str">
        <f t="shared" si="122"/>
        <v/>
      </c>
      <c r="P85" s="210" t="str">
        <f t="shared" si="123"/>
        <v/>
      </c>
      <c r="Q85" s="210" t="str">
        <f t="shared" si="124"/>
        <v/>
      </c>
      <c r="R85" s="210" t="str">
        <f t="shared" si="125"/>
        <v/>
      </c>
      <c r="S85" s="210" t="str">
        <f t="shared" si="126"/>
        <v/>
      </c>
      <c r="U85" s="482">
        <f t="shared" si="127"/>
        <v>0</v>
      </c>
      <c r="V85" s="482">
        <f t="shared" si="128"/>
        <v>0</v>
      </c>
      <c r="W85" s="482">
        <f t="shared" si="129"/>
        <v>0</v>
      </c>
      <c r="X85" s="482">
        <f t="shared" si="130"/>
        <v>0</v>
      </c>
      <c r="Y85" s="482">
        <f t="shared" si="131"/>
        <v>133</v>
      </c>
      <c r="Z85" s="482">
        <f t="shared" si="132"/>
        <v>133</v>
      </c>
      <c r="AA85" s="482">
        <f t="shared" si="133"/>
        <v>0</v>
      </c>
      <c r="AB85" s="243"/>
      <c r="AC85" s="482">
        <f t="shared" si="134"/>
        <v>0</v>
      </c>
      <c r="AD85" s="482">
        <f t="shared" si="135"/>
        <v>0</v>
      </c>
      <c r="AE85" s="482">
        <f t="shared" si="136"/>
        <v>0</v>
      </c>
      <c r="AF85" s="482">
        <f t="shared" si="137"/>
        <v>133</v>
      </c>
      <c r="AG85" s="482">
        <f t="shared" si="138"/>
        <v>133</v>
      </c>
      <c r="AH85" s="482">
        <f t="shared" si="139"/>
        <v>133</v>
      </c>
      <c r="AI85" s="482">
        <f t="shared" si="140"/>
        <v>133</v>
      </c>
      <c r="AJ85" s="482">
        <f t="shared" si="141"/>
        <v>0</v>
      </c>
      <c r="AK85" s="482">
        <f t="shared" si="142"/>
        <v>0</v>
      </c>
      <c r="AL85" s="482">
        <f t="shared" si="143"/>
        <v>0</v>
      </c>
      <c r="AM85" s="482">
        <f t="shared" si="144"/>
        <v>0</v>
      </c>
      <c r="AN85" s="482">
        <f t="shared" si="145"/>
        <v>133</v>
      </c>
      <c r="AO85" s="482">
        <f t="shared" si="146"/>
        <v>133</v>
      </c>
      <c r="AP85" s="482">
        <f t="shared" si="147"/>
        <v>133</v>
      </c>
      <c r="AQ85" s="482">
        <f t="shared" si="148"/>
        <v>133</v>
      </c>
      <c r="AR85" s="482">
        <f t="shared" si="149"/>
        <v>0</v>
      </c>
      <c r="AS85" s="482">
        <f t="shared" si="150"/>
        <v>0</v>
      </c>
      <c r="AT85" s="482">
        <f t="shared" si="151"/>
        <v>0</v>
      </c>
      <c r="AU85" s="482">
        <f t="shared" si="152"/>
        <v>0</v>
      </c>
      <c r="AV85" s="482">
        <f t="shared" si="153"/>
        <v>133</v>
      </c>
      <c r="AW85" s="482">
        <f t="shared" si="154"/>
        <v>133</v>
      </c>
      <c r="AX85" s="482">
        <f t="shared" si="155"/>
        <v>133</v>
      </c>
      <c r="AY85" s="482">
        <f t="shared" si="156"/>
        <v>133</v>
      </c>
      <c r="AZ85" s="482">
        <f t="shared" si="157"/>
        <v>0</v>
      </c>
      <c r="BA85" s="482">
        <f t="shared" si="158"/>
        <v>0</v>
      </c>
      <c r="BB85" s="482">
        <f t="shared" si="159"/>
        <v>0</v>
      </c>
      <c r="BC85" s="482">
        <f t="shared" si="160"/>
        <v>0</v>
      </c>
      <c r="BD85" s="482">
        <f t="shared" si="161"/>
        <v>133</v>
      </c>
      <c r="BE85" s="482">
        <f t="shared" si="162"/>
        <v>133</v>
      </c>
      <c r="BF85" s="482">
        <f t="shared" si="163"/>
        <v>133</v>
      </c>
      <c r="BG85" s="482">
        <f t="shared" si="164"/>
        <v>133</v>
      </c>
    </row>
    <row r="86" spans="1:59">
      <c r="A86" s="213" t="s">
        <v>5316</v>
      </c>
      <c r="B86" s="231">
        <v>608566062</v>
      </c>
      <c r="C86" s="210" t="s">
        <v>58</v>
      </c>
      <c r="D86" s="210">
        <v>300</v>
      </c>
      <c r="F86" s="239" t="str" cm="1">
        <f t="array" aca="1" ref="F86" ca="1">MID(met2utc(PEPSSI_Commanding[[#This Row],[MET]]),3,15)</f>
        <v>25-123/08:15:46</v>
      </c>
      <c r="G86" s="213" t="str">
        <f t="shared" si="115"/>
        <v>N3+300</v>
      </c>
      <c r="H86" s="214">
        <f t="shared" si="116"/>
        <v>608566016</v>
      </c>
      <c r="I86" s="214">
        <f t="shared" si="117"/>
        <v>608567866</v>
      </c>
      <c r="J86" s="213">
        <f t="shared" si="118"/>
        <v>3</v>
      </c>
      <c r="K86" s="213">
        <f t="shared" si="119"/>
        <v>7</v>
      </c>
      <c r="M86" s="210" t="str">
        <f t="shared" si="120"/>
        <v/>
      </c>
      <c r="N86" s="210">
        <f t="shared" si="121"/>
        <v>10</v>
      </c>
      <c r="O86" s="210">
        <f t="shared" si="122"/>
        <v>300</v>
      </c>
      <c r="P86" s="210" t="str">
        <f t="shared" si="123"/>
        <v/>
      </c>
      <c r="Q86" s="210" t="str">
        <f t="shared" si="124"/>
        <v/>
      </c>
      <c r="R86" s="210" t="str">
        <f t="shared" si="125"/>
        <v/>
      </c>
      <c r="S86" s="210" t="str">
        <f t="shared" si="126"/>
        <v/>
      </c>
      <c r="U86" s="482">
        <f t="shared" si="127"/>
        <v>0</v>
      </c>
      <c r="V86" s="482">
        <f t="shared" si="128"/>
        <v>0</v>
      </c>
      <c r="W86" s="482">
        <f t="shared" si="129"/>
        <v>0</v>
      </c>
      <c r="X86" s="482">
        <f t="shared" si="130"/>
        <v>0</v>
      </c>
      <c r="Y86" s="482">
        <f t="shared" si="131"/>
        <v>133</v>
      </c>
      <c r="Z86" s="482">
        <f t="shared" si="132"/>
        <v>133</v>
      </c>
      <c r="AA86" s="482">
        <f t="shared" si="133"/>
        <v>66.36</v>
      </c>
      <c r="AB86" s="243"/>
      <c r="AC86" s="482">
        <f t="shared" si="134"/>
        <v>0</v>
      </c>
      <c r="AD86" s="482">
        <f t="shared" si="135"/>
        <v>66.36</v>
      </c>
      <c r="AE86" s="482">
        <f t="shared" si="136"/>
        <v>66.36</v>
      </c>
      <c r="AF86" s="482">
        <f t="shared" si="137"/>
        <v>133</v>
      </c>
      <c r="AG86" s="482">
        <f t="shared" si="138"/>
        <v>133</v>
      </c>
      <c r="AH86" s="482">
        <f t="shared" si="139"/>
        <v>199.36</v>
      </c>
      <c r="AI86" s="482">
        <f t="shared" si="140"/>
        <v>199.36</v>
      </c>
      <c r="AJ86" s="482">
        <f t="shared" si="141"/>
        <v>0</v>
      </c>
      <c r="AK86" s="482">
        <f t="shared" si="142"/>
        <v>0</v>
      </c>
      <c r="AL86" s="482">
        <f t="shared" si="143"/>
        <v>66.36</v>
      </c>
      <c r="AM86" s="482">
        <f t="shared" si="144"/>
        <v>66.36</v>
      </c>
      <c r="AN86" s="482">
        <f t="shared" si="145"/>
        <v>133</v>
      </c>
      <c r="AO86" s="482">
        <f t="shared" si="146"/>
        <v>133</v>
      </c>
      <c r="AP86" s="482">
        <f t="shared" si="147"/>
        <v>199.36</v>
      </c>
      <c r="AQ86" s="482">
        <f t="shared" si="148"/>
        <v>199.36</v>
      </c>
      <c r="AR86" s="482">
        <f t="shared" si="149"/>
        <v>0</v>
      </c>
      <c r="AS86" s="482">
        <f t="shared" si="150"/>
        <v>0</v>
      </c>
      <c r="AT86" s="482">
        <f t="shared" si="151"/>
        <v>66.36</v>
      </c>
      <c r="AU86" s="482">
        <f t="shared" si="152"/>
        <v>66.36</v>
      </c>
      <c r="AV86" s="482">
        <f t="shared" si="153"/>
        <v>133</v>
      </c>
      <c r="AW86" s="482">
        <f t="shared" si="154"/>
        <v>133</v>
      </c>
      <c r="AX86" s="482">
        <f t="shared" si="155"/>
        <v>199.36</v>
      </c>
      <c r="AY86" s="482">
        <f t="shared" si="156"/>
        <v>199.36</v>
      </c>
      <c r="AZ86" s="482">
        <f t="shared" si="157"/>
        <v>0</v>
      </c>
      <c r="BA86" s="482">
        <f t="shared" si="158"/>
        <v>0</v>
      </c>
      <c r="BB86" s="482">
        <f t="shared" si="159"/>
        <v>66.36</v>
      </c>
      <c r="BC86" s="482">
        <f t="shared" si="160"/>
        <v>66.36</v>
      </c>
      <c r="BD86" s="482">
        <f t="shared" si="161"/>
        <v>133</v>
      </c>
      <c r="BE86" s="482">
        <f t="shared" si="162"/>
        <v>133</v>
      </c>
      <c r="BF86" s="482">
        <f t="shared" si="163"/>
        <v>199.36</v>
      </c>
      <c r="BG86" s="482">
        <f t="shared" si="164"/>
        <v>199.36</v>
      </c>
    </row>
    <row r="87" spans="1:59">
      <c r="A87" s="213" t="s">
        <v>5316</v>
      </c>
      <c r="B87" s="231">
        <v>608566063</v>
      </c>
      <c r="C87" s="210" t="s">
        <v>1</v>
      </c>
      <c r="D87" s="210">
        <v>10</v>
      </c>
      <c r="F87" s="239" t="str" cm="1">
        <f t="array" aca="1" ref="F87" ca="1">MID(met2utc(PEPSSI_Commanding[[#This Row],[MET]]),3,15)</f>
        <v>25-123/08:15:47</v>
      </c>
      <c r="G87" s="213" t="str">
        <f t="shared" si="115"/>
        <v>N1+10</v>
      </c>
      <c r="H87" s="214">
        <f t="shared" si="116"/>
        <v>608566016</v>
      </c>
      <c r="I87" s="214">
        <f t="shared" si="117"/>
        <v>608567866</v>
      </c>
      <c r="J87" s="213">
        <f t="shared" si="118"/>
        <v>4</v>
      </c>
      <c r="K87" s="213">
        <f t="shared" si="119"/>
        <v>6</v>
      </c>
      <c r="M87" s="210">
        <f t="shared" si="120"/>
        <v>10</v>
      </c>
      <c r="N87" s="210">
        <f t="shared" si="121"/>
        <v>10</v>
      </c>
      <c r="O87" s="210">
        <f t="shared" si="122"/>
        <v>300</v>
      </c>
      <c r="P87" s="210" t="str">
        <f t="shared" si="123"/>
        <v/>
      </c>
      <c r="Q87" s="210" t="str">
        <f t="shared" si="124"/>
        <v/>
      </c>
      <c r="R87" s="210" t="str">
        <f t="shared" si="125"/>
        <v/>
      </c>
      <c r="S87" s="210" t="str">
        <f t="shared" si="126"/>
        <v/>
      </c>
      <c r="U87" s="482">
        <f t="shared" si="127"/>
        <v>0</v>
      </c>
      <c r="V87" s="482">
        <f t="shared" si="128"/>
        <v>0</v>
      </c>
      <c r="W87" s="482">
        <f t="shared" si="129"/>
        <v>0</v>
      </c>
      <c r="X87" s="482">
        <f t="shared" si="130"/>
        <v>198.8</v>
      </c>
      <c r="Y87" s="482">
        <f t="shared" si="131"/>
        <v>133</v>
      </c>
      <c r="Z87" s="482">
        <f t="shared" si="132"/>
        <v>133</v>
      </c>
      <c r="AA87" s="482">
        <f t="shared" si="133"/>
        <v>66.36</v>
      </c>
      <c r="AB87" s="243"/>
      <c r="AC87" s="482">
        <f t="shared" si="134"/>
        <v>198.8</v>
      </c>
      <c r="AD87" s="482">
        <f t="shared" si="135"/>
        <v>66.36</v>
      </c>
      <c r="AE87" s="482">
        <f t="shared" si="136"/>
        <v>265.16000000000003</v>
      </c>
      <c r="AF87" s="482">
        <f t="shared" si="137"/>
        <v>133</v>
      </c>
      <c r="AG87" s="482">
        <f t="shared" si="138"/>
        <v>331.8</v>
      </c>
      <c r="AH87" s="482">
        <f t="shared" si="139"/>
        <v>199.36</v>
      </c>
      <c r="AI87" s="482">
        <f t="shared" si="140"/>
        <v>398.16</v>
      </c>
      <c r="AJ87" s="482">
        <f t="shared" si="141"/>
        <v>0</v>
      </c>
      <c r="AK87" s="482">
        <f t="shared" si="142"/>
        <v>198.8</v>
      </c>
      <c r="AL87" s="482">
        <f t="shared" si="143"/>
        <v>66.36</v>
      </c>
      <c r="AM87" s="482">
        <f t="shared" si="144"/>
        <v>265.16000000000003</v>
      </c>
      <c r="AN87" s="482">
        <f t="shared" si="145"/>
        <v>133</v>
      </c>
      <c r="AO87" s="482">
        <f t="shared" si="146"/>
        <v>331.8</v>
      </c>
      <c r="AP87" s="482">
        <f t="shared" si="147"/>
        <v>199.36</v>
      </c>
      <c r="AQ87" s="482">
        <f t="shared" si="148"/>
        <v>398.16</v>
      </c>
      <c r="AR87" s="482">
        <f t="shared" si="149"/>
        <v>0</v>
      </c>
      <c r="AS87" s="482">
        <f t="shared" si="150"/>
        <v>198.8</v>
      </c>
      <c r="AT87" s="482">
        <f t="shared" si="151"/>
        <v>66.36</v>
      </c>
      <c r="AU87" s="482">
        <f t="shared" si="152"/>
        <v>265.16000000000003</v>
      </c>
      <c r="AV87" s="482">
        <f t="shared" si="153"/>
        <v>133</v>
      </c>
      <c r="AW87" s="482">
        <f t="shared" si="154"/>
        <v>331.8</v>
      </c>
      <c r="AX87" s="482">
        <f t="shared" si="155"/>
        <v>199.36</v>
      </c>
      <c r="AY87" s="482">
        <f t="shared" si="156"/>
        <v>398.16</v>
      </c>
      <c r="AZ87" s="482">
        <f t="shared" si="157"/>
        <v>0</v>
      </c>
      <c r="BA87" s="482">
        <f t="shared" si="158"/>
        <v>198.8</v>
      </c>
      <c r="BB87" s="482">
        <f t="shared" si="159"/>
        <v>66.36</v>
      </c>
      <c r="BC87" s="482">
        <f t="shared" si="160"/>
        <v>265.16000000000003</v>
      </c>
      <c r="BD87" s="482">
        <f t="shared" si="161"/>
        <v>133</v>
      </c>
      <c r="BE87" s="482">
        <f t="shared" si="162"/>
        <v>331.8</v>
      </c>
      <c r="BF87" s="482">
        <f t="shared" si="163"/>
        <v>199.36</v>
      </c>
      <c r="BG87" s="482">
        <f t="shared" si="164"/>
        <v>398.16</v>
      </c>
    </row>
    <row r="88" spans="1:59">
      <c r="A88" s="213" t="s">
        <v>5317</v>
      </c>
      <c r="B88" s="231">
        <v>608566064</v>
      </c>
      <c r="C88" s="210" t="s">
        <v>5284</v>
      </c>
      <c r="D88" s="210">
        <v>1</v>
      </c>
      <c r="F88" s="239" t="str" cm="1">
        <f t="array" aca="1" ref="F88" ca="1">MID(met2utc(PEPSSI_Commanding[[#This Row],[MET]]),3,15)</f>
        <v>25-123/08:15:48</v>
      </c>
      <c r="G88" s="213" t="str">
        <f t="shared" si="115"/>
        <v>STAT+1</v>
      </c>
      <c r="H88" s="214">
        <f t="shared" si="116"/>
        <v>608566016</v>
      </c>
      <c r="I88" s="214">
        <f t="shared" si="117"/>
        <v>608567866</v>
      </c>
      <c r="J88" s="213">
        <f t="shared" si="118"/>
        <v>5</v>
      </c>
      <c r="K88" s="213">
        <f t="shared" si="119"/>
        <v>5</v>
      </c>
      <c r="M88" s="210">
        <f t="shared" si="120"/>
        <v>10</v>
      </c>
      <c r="N88" s="210">
        <f t="shared" si="121"/>
        <v>10</v>
      </c>
      <c r="O88" s="210">
        <f t="shared" si="122"/>
        <v>300</v>
      </c>
      <c r="P88" s="210">
        <f t="shared" si="123"/>
        <v>1</v>
      </c>
      <c r="Q88" s="210" t="str">
        <f t="shared" si="124"/>
        <v/>
      </c>
      <c r="R88" s="210" t="str">
        <f t="shared" si="125"/>
        <v/>
      </c>
      <c r="S88" s="210" t="str">
        <f t="shared" si="126"/>
        <v/>
      </c>
      <c r="U88" s="482">
        <f t="shared" si="127"/>
        <v>0</v>
      </c>
      <c r="V88" s="482">
        <f t="shared" si="128"/>
        <v>0</v>
      </c>
      <c r="W88" s="482">
        <f t="shared" si="129"/>
        <v>512</v>
      </c>
      <c r="X88" s="482">
        <f t="shared" si="130"/>
        <v>198.8</v>
      </c>
      <c r="Y88" s="482">
        <f t="shared" si="131"/>
        <v>133</v>
      </c>
      <c r="Z88" s="482">
        <f t="shared" si="132"/>
        <v>133</v>
      </c>
      <c r="AA88" s="482">
        <f t="shared" si="133"/>
        <v>66.36</v>
      </c>
      <c r="AB88" s="243"/>
      <c r="AC88" s="482">
        <f t="shared" si="134"/>
        <v>198.8</v>
      </c>
      <c r="AD88" s="482">
        <f t="shared" si="135"/>
        <v>66.36</v>
      </c>
      <c r="AE88" s="482">
        <f t="shared" si="136"/>
        <v>265.16000000000003</v>
      </c>
      <c r="AF88" s="482">
        <f t="shared" si="137"/>
        <v>133</v>
      </c>
      <c r="AG88" s="482">
        <f t="shared" si="138"/>
        <v>331.8</v>
      </c>
      <c r="AH88" s="482">
        <f t="shared" si="139"/>
        <v>199.36</v>
      </c>
      <c r="AI88" s="482">
        <f t="shared" si="140"/>
        <v>398.16</v>
      </c>
      <c r="AJ88" s="482">
        <f t="shared" si="141"/>
        <v>0</v>
      </c>
      <c r="AK88" s="482">
        <f t="shared" si="142"/>
        <v>198.8</v>
      </c>
      <c r="AL88" s="482">
        <f t="shared" si="143"/>
        <v>66.36</v>
      </c>
      <c r="AM88" s="482">
        <f t="shared" si="144"/>
        <v>265.16000000000003</v>
      </c>
      <c r="AN88" s="482">
        <f t="shared" si="145"/>
        <v>133</v>
      </c>
      <c r="AO88" s="482">
        <f t="shared" si="146"/>
        <v>331.8</v>
      </c>
      <c r="AP88" s="482">
        <f t="shared" si="147"/>
        <v>199.36</v>
      </c>
      <c r="AQ88" s="482">
        <f t="shared" si="148"/>
        <v>398.16</v>
      </c>
      <c r="AR88" s="482">
        <f t="shared" si="149"/>
        <v>512</v>
      </c>
      <c r="AS88" s="482">
        <f t="shared" si="150"/>
        <v>710.8</v>
      </c>
      <c r="AT88" s="482">
        <f t="shared" si="151"/>
        <v>578.36</v>
      </c>
      <c r="AU88" s="482">
        <f t="shared" si="152"/>
        <v>777.16000000000008</v>
      </c>
      <c r="AV88" s="482">
        <f t="shared" si="153"/>
        <v>645</v>
      </c>
      <c r="AW88" s="482">
        <f t="shared" si="154"/>
        <v>843.8</v>
      </c>
      <c r="AX88" s="482">
        <f t="shared" si="155"/>
        <v>711.36</v>
      </c>
      <c r="AY88" s="482">
        <f t="shared" si="156"/>
        <v>910.16000000000008</v>
      </c>
      <c r="AZ88" s="482">
        <f t="shared" si="157"/>
        <v>512</v>
      </c>
      <c r="BA88" s="482">
        <f t="shared" si="158"/>
        <v>710.8</v>
      </c>
      <c r="BB88" s="482">
        <f t="shared" si="159"/>
        <v>578.36</v>
      </c>
      <c r="BC88" s="482">
        <f t="shared" si="160"/>
        <v>777.16000000000008</v>
      </c>
      <c r="BD88" s="482">
        <f t="shared" si="161"/>
        <v>645</v>
      </c>
      <c r="BE88" s="482">
        <f t="shared" si="162"/>
        <v>843.8</v>
      </c>
      <c r="BF88" s="482">
        <f t="shared" si="163"/>
        <v>711.36</v>
      </c>
      <c r="BG88" s="482">
        <f t="shared" si="164"/>
        <v>910.16000000000008</v>
      </c>
    </row>
    <row r="89" spans="1:59">
      <c r="A89" s="213" t="s">
        <v>5316</v>
      </c>
      <c r="B89" s="231">
        <v>608567547</v>
      </c>
      <c r="C89" s="210" t="s">
        <v>61</v>
      </c>
      <c r="D89" s="210">
        <v>40</v>
      </c>
      <c r="F89" s="239" t="str" cm="1">
        <f t="array" aca="1" ref="F89" ca="1">MID(met2utc(PEPSSI_Commanding[[#This Row],[MET]]),3,15)</f>
        <v>25-123/08:40:31</v>
      </c>
      <c r="G89" s="213" t="str">
        <f t="shared" si="115"/>
        <v>N2+40</v>
      </c>
      <c r="H89" s="214">
        <f t="shared" si="116"/>
        <v>608566016</v>
      </c>
      <c r="I89" s="214">
        <f t="shared" si="117"/>
        <v>608567866</v>
      </c>
      <c r="J89" s="213">
        <f t="shared" si="118"/>
        <v>6</v>
      </c>
      <c r="K89" s="213">
        <f t="shared" si="119"/>
        <v>4</v>
      </c>
      <c r="M89" s="210">
        <f t="shared" si="120"/>
        <v>10</v>
      </c>
      <c r="N89" s="210">
        <f t="shared" si="121"/>
        <v>40</v>
      </c>
      <c r="O89" s="210">
        <f t="shared" si="122"/>
        <v>300</v>
      </c>
      <c r="P89" s="210">
        <f t="shared" si="123"/>
        <v>1</v>
      </c>
      <c r="Q89" s="210" t="str">
        <f t="shared" si="124"/>
        <v/>
      </c>
      <c r="R89" s="210" t="str">
        <f t="shared" si="125"/>
        <v/>
      </c>
      <c r="S89" s="210" t="str">
        <f t="shared" si="126"/>
        <v/>
      </c>
      <c r="U89" s="482">
        <f t="shared" si="127"/>
        <v>0</v>
      </c>
      <c r="V89" s="482">
        <f t="shared" si="128"/>
        <v>0</v>
      </c>
      <c r="W89" s="482">
        <f t="shared" si="129"/>
        <v>512</v>
      </c>
      <c r="X89" s="482">
        <f t="shared" si="130"/>
        <v>198.8</v>
      </c>
      <c r="Y89" s="482">
        <f t="shared" si="131"/>
        <v>33.25</v>
      </c>
      <c r="Z89" s="482">
        <f t="shared" si="132"/>
        <v>33.25</v>
      </c>
      <c r="AA89" s="482">
        <f t="shared" si="133"/>
        <v>66.36</v>
      </c>
      <c r="AB89" s="243"/>
      <c r="AC89" s="482">
        <f t="shared" si="134"/>
        <v>198.8</v>
      </c>
      <c r="AD89" s="482">
        <f t="shared" si="135"/>
        <v>66.36</v>
      </c>
      <c r="AE89" s="482">
        <f t="shared" si="136"/>
        <v>265.16000000000003</v>
      </c>
      <c r="AF89" s="482">
        <f t="shared" si="137"/>
        <v>33.25</v>
      </c>
      <c r="AG89" s="482">
        <f t="shared" si="138"/>
        <v>232.05</v>
      </c>
      <c r="AH89" s="482">
        <f t="shared" si="139"/>
        <v>99.61</v>
      </c>
      <c r="AI89" s="482">
        <f t="shared" si="140"/>
        <v>298.41000000000003</v>
      </c>
      <c r="AJ89" s="482">
        <f t="shared" si="141"/>
        <v>0</v>
      </c>
      <c r="AK89" s="482">
        <f t="shared" si="142"/>
        <v>198.8</v>
      </c>
      <c r="AL89" s="482">
        <f t="shared" si="143"/>
        <v>66.36</v>
      </c>
      <c r="AM89" s="482">
        <f t="shared" si="144"/>
        <v>265.16000000000003</v>
      </c>
      <c r="AN89" s="482">
        <f t="shared" si="145"/>
        <v>33.25</v>
      </c>
      <c r="AO89" s="482">
        <f t="shared" si="146"/>
        <v>232.05</v>
      </c>
      <c r="AP89" s="482">
        <f t="shared" si="147"/>
        <v>99.61</v>
      </c>
      <c r="AQ89" s="482">
        <f t="shared" si="148"/>
        <v>298.41000000000003</v>
      </c>
      <c r="AR89" s="482">
        <f t="shared" si="149"/>
        <v>512</v>
      </c>
      <c r="AS89" s="482">
        <f t="shared" si="150"/>
        <v>710.8</v>
      </c>
      <c r="AT89" s="482">
        <f t="shared" si="151"/>
        <v>578.36</v>
      </c>
      <c r="AU89" s="482">
        <f t="shared" si="152"/>
        <v>777.16000000000008</v>
      </c>
      <c r="AV89" s="482">
        <f t="shared" si="153"/>
        <v>545.25</v>
      </c>
      <c r="AW89" s="482">
        <f t="shared" si="154"/>
        <v>744.05</v>
      </c>
      <c r="AX89" s="482">
        <f t="shared" si="155"/>
        <v>611.61</v>
      </c>
      <c r="AY89" s="482">
        <f t="shared" si="156"/>
        <v>810.41000000000008</v>
      </c>
      <c r="AZ89" s="482">
        <f t="shared" si="157"/>
        <v>512</v>
      </c>
      <c r="BA89" s="482">
        <f t="shared" si="158"/>
        <v>710.8</v>
      </c>
      <c r="BB89" s="482">
        <f t="shared" si="159"/>
        <v>578.36</v>
      </c>
      <c r="BC89" s="482">
        <f t="shared" si="160"/>
        <v>777.16000000000008</v>
      </c>
      <c r="BD89" s="482">
        <f t="shared" si="161"/>
        <v>545.25</v>
      </c>
      <c r="BE89" s="482">
        <f t="shared" si="162"/>
        <v>744.05</v>
      </c>
      <c r="BF89" s="482">
        <f t="shared" si="163"/>
        <v>611.61</v>
      </c>
      <c r="BG89" s="482">
        <f t="shared" si="164"/>
        <v>810.41000000000008</v>
      </c>
    </row>
    <row r="90" spans="1:59">
      <c r="A90" s="213" t="s">
        <v>5316</v>
      </c>
      <c r="B90" s="231">
        <v>608567548</v>
      </c>
      <c r="C90" s="210" t="s">
        <v>58</v>
      </c>
      <c r="D90" s="210">
        <v>7200</v>
      </c>
      <c r="F90" s="239" t="str" cm="1">
        <f t="array" aca="1" ref="F90" ca="1">MID(met2utc(PEPSSI_Commanding[[#This Row],[MET]]),3,15)</f>
        <v>25-123/08:40:32</v>
      </c>
      <c r="G90" s="213" t="str">
        <f t="shared" si="115"/>
        <v>N3+7200</v>
      </c>
      <c r="H90" s="214">
        <f t="shared" si="116"/>
        <v>608566016</v>
      </c>
      <c r="I90" s="214">
        <f t="shared" si="117"/>
        <v>608567866</v>
      </c>
      <c r="J90" s="213">
        <f t="shared" si="118"/>
        <v>7</v>
      </c>
      <c r="K90" s="213">
        <f t="shared" si="119"/>
        <v>3</v>
      </c>
      <c r="M90" s="210">
        <f t="shared" si="120"/>
        <v>10</v>
      </c>
      <c r="N90" s="210">
        <f t="shared" si="121"/>
        <v>40</v>
      </c>
      <c r="O90" s="210">
        <f t="shared" si="122"/>
        <v>7200</v>
      </c>
      <c r="P90" s="210">
        <f t="shared" si="123"/>
        <v>1</v>
      </c>
      <c r="Q90" s="210" t="str">
        <f t="shared" si="124"/>
        <v/>
      </c>
      <c r="R90" s="210" t="str">
        <f t="shared" si="125"/>
        <v/>
      </c>
      <c r="S90" s="210" t="str">
        <f t="shared" si="126"/>
        <v/>
      </c>
      <c r="U90" s="482">
        <f t="shared" si="127"/>
        <v>0</v>
      </c>
      <c r="V90" s="482">
        <f t="shared" si="128"/>
        <v>0</v>
      </c>
      <c r="W90" s="482">
        <f t="shared" si="129"/>
        <v>512</v>
      </c>
      <c r="X90" s="482">
        <f t="shared" si="130"/>
        <v>198.8</v>
      </c>
      <c r="Y90" s="482">
        <f t="shared" si="131"/>
        <v>33.25</v>
      </c>
      <c r="Z90" s="482">
        <f t="shared" si="132"/>
        <v>33.25</v>
      </c>
      <c r="AA90" s="482">
        <f t="shared" si="133"/>
        <v>2.7650000000000001</v>
      </c>
      <c r="AB90" s="243"/>
      <c r="AC90" s="482">
        <f t="shared" si="134"/>
        <v>198.8</v>
      </c>
      <c r="AD90" s="482">
        <f t="shared" si="135"/>
        <v>2.7650000000000001</v>
      </c>
      <c r="AE90" s="482">
        <f t="shared" si="136"/>
        <v>201.565</v>
      </c>
      <c r="AF90" s="482">
        <f t="shared" si="137"/>
        <v>33.25</v>
      </c>
      <c r="AG90" s="482">
        <f t="shared" si="138"/>
        <v>232.05</v>
      </c>
      <c r="AH90" s="482">
        <f t="shared" si="139"/>
        <v>36.015000000000001</v>
      </c>
      <c r="AI90" s="482">
        <f t="shared" si="140"/>
        <v>234.815</v>
      </c>
      <c r="AJ90" s="482">
        <f t="shared" si="141"/>
        <v>0</v>
      </c>
      <c r="AK90" s="482">
        <f t="shared" si="142"/>
        <v>198.8</v>
      </c>
      <c r="AL90" s="482">
        <f t="shared" si="143"/>
        <v>2.7650000000000001</v>
      </c>
      <c r="AM90" s="482">
        <f t="shared" si="144"/>
        <v>201.565</v>
      </c>
      <c r="AN90" s="482">
        <f t="shared" si="145"/>
        <v>33.25</v>
      </c>
      <c r="AO90" s="482">
        <f t="shared" si="146"/>
        <v>232.05</v>
      </c>
      <c r="AP90" s="482">
        <f t="shared" si="147"/>
        <v>36.015000000000001</v>
      </c>
      <c r="AQ90" s="482">
        <f t="shared" si="148"/>
        <v>234.815</v>
      </c>
      <c r="AR90" s="482">
        <f t="shared" si="149"/>
        <v>512</v>
      </c>
      <c r="AS90" s="482">
        <f t="shared" si="150"/>
        <v>710.8</v>
      </c>
      <c r="AT90" s="482">
        <f t="shared" si="151"/>
        <v>514.76499999999999</v>
      </c>
      <c r="AU90" s="482">
        <f t="shared" si="152"/>
        <v>713.56500000000005</v>
      </c>
      <c r="AV90" s="482">
        <f t="shared" si="153"/>
        <v>545.25</v>
      </c>
      <c r="AW90" s="482">
        <f t="shared" si="154"/>
        <v>744.05</v>
      </c>
      <c r="AX90" s="482">
        <f t="shared" si="155"/>
        <v>548.01499999999999</v>
      </c>
      <c r="AY90" s="482">
        <f t="shared" si="156"/>
        <v>746.81500000000005</v>
      </c>
      <c r="AZ90" s="482">
        <f t="shared" si="157"/>
        <v>512</v>
      </c>
      <c r="BA90" s="482">
        <f t="shared" si="158"/>
        <v>710.8</v>
      </c>
      <c r="BB90" s="482">
        <f t="shared" si="159"/>
        <v>514.76499999999999</v>
      </c>
      <c r="BC90" s="482">
        <f t="shared" si="160"/>
        <v>713.56500000000005</v>
      </c>
      <c r="BD90" s="482">
        <f t="shared" si="161"/>
        <v>545.25</v>
      </c>
      <c r="BE90" s="482">
        <f t="shared" si="162"/>
        <v>744.05</v>
      </c>
      <c r="BF90" s="482">
        <f t="shared" si="163"/>
        <v>548.01499999999999</v>
      </c>
      <c r="BG90" s="482">
        <f t="shared" si="164"/>
        <v>746.81500000000005</v>
      </c>
    </row>
    <row r="91" spans="1:59">
      <c r="A91" s="213" t="s">
        <v>5316</v>
      </c>
      <c r="B91" s="231">
        <v>608567549</v>
      </c>
      <c r="C91" s="210" t="s">
        <v>1</v>
      </c>
      <c r="D91" s="210">
        <v>3600</v>
      </c>
      <c r="F91" s="239" t="str" cm="1">
        <f t="array" aca="1" ref="F91" ca="1">MID(met2utc(PEPSSI_Commanding[[#This Row],[MET]]),3,15)</f>
        <v>25-123/08:40:33</v>
      </c>
      <c r="G91" s="213" t="str">
        <f t="shared" si="115"/>
        <v>N1+3600</v>
      </c>
      <c r="H91" s="214">
        <f t="shared" si="116"/>
        <v>608566016</v>
      </c>
      <c r="I91" s="214">
        <f t="shared" si="117"/>
        <v>608567866</v>
      </c>
      <c r="J91" s="213">
        <f t="shared" si="118"/>
        <v>8</v>
      </c>
      <c r="K91" s="213">
        <f t="shared" si="119"/>
        <v>2</v>
      </c>
      <c r="M91" s="210">
        <f t="shared" si="120"/>
        <v>3600</v>
      </c>
      <c r="N91" s="210">
        <f t="shared" si="121"/>
        <v>40</v>
      </c>
      <c r="O91" s="210">
        <f t="shared" si="122"/>
        <v>7200</v>
      </c>
      <c r="P91" s="210">
        <f t="shared" si="123"/>
        <v>1</v>
      </c>
      <c r="Q91" s="210" t="str">
        <f t="shared" si="124"/>
        <v/>
      </c>
      <c r="R91" s="210" t="str">
        <f t="shared" si="125"/>
        <v/>
      </c>
      <c r="S91" s="210" t="str">
        <f t="shared" si="126"/>
        <v/>
      </c>
      <c r="U91" s="482">
        <f t="shared" si="127"/>
        <v>0</v>
      </c>
      <c r="V91" s="482">
        <f t="shared" si="128"/>
        <v>0</v>
      </c>
      <c r="W91" s="482">
        <f t="shared" si="129"/>
        <v>512</v>
      </c>
      <c r="X91" s="482">
        <f t="shared" si="130"/>
        <v>0.55222222222222217</v>
      </c>
      <c r="Y91" s="482">
        <f t="shared" si="131"/>
        <v>33.25</v>
      </c>
      <c r="Z91" s="482">
        <f t="shared" si="132"/>
        <v>33.25</v>
      </c>
      <c r="AA91" s="482">
        <f t="shared" si="133"/>
        <v>2.7650000000000001</v>
      </c>
      <c r="AB91" s="243"/>
      <c r="AC91" s="482">
        <f t="shared" si="134"/>
        <v>0.55222222222222217</v>
      </c>
      <c r="AD91" s="482">
        <f t="shared" si="135"/>
        <v>2.7650000000000001</v>
      </c>
      <c r="AE91" s="482">
        <f t="shared" si="136"/>
        <v>3.3172222222222221</v>
      </c>
      <c r="AF91" s="482">
        <f t="shared" si="137"/>
        <v>33.25</v>
      </c>
      <c r="AG91" s="482">
        <f t="shared" si="138"/>
        <v>33.80222222222222</v>
      </c>
      <c r="AH91" s="482">
        <f t="shared" si="139"/>
        <v>36.015000000000001</v>
      </c>
      <c r="AI91" s="482">
        <f t="shared" si="140"/>
        <v>36.56722222222222</v>
      </c>
      <c r="AJ91" s="482">
        <f t="shared" si="141"/>
        <v>0</v>
      </c>
      <c r="AK91" s="482">
        <f t="shared" si="142"/>
        <v>0.55222222222222217</v>
      </c>
      <c r="AL91" s="482">
        <f t="shared" si="143"/>
        <v>2.7650000000000001</v>
      </c>
      <c r="AM91" s="482">
        <f t="shared" si="144"/>
        <v>3.3172222222222221</v>
      </c>
      <c r="AN91" s="482">
        <f t="shared" si="145"/>
        <v>33.25</v>
      </c>
      <c r="AO91" s="482">
        <f t="shared" si="146"/>
        <v>33.80222222222222</v>
      </c>
      <c r="AP91" s="482">
        <f t="shared" si="147"/>
        <v>36.015000000000001</v>
      </c>
      <c r="AQ91" s="482">
        <f t="shared" si="148"/>
        <v>36.56722222222222</v>
      </c>
      <c r="AR91" s="482">
        <f t="shared" si="149"/>
        <v>512</v>
      </c>
      <c r="AS91" s="482">
        <f t="shared" si="150"/>
        <v>512.55222222222221</v>
      </c>
      <c r="AT91" s="482">
        <f t="shared" si="151"/>
        <v>514.76499999999999</v>
      </c>
      <c r="AU91" s="482">
        <f t="shared" si="152"/>
        <v>515.3172222222222</v>
      </c>
      <c r="AV91" s="482">
        <f t="shared" si="153"/>
        <v>545.25</v>
      </c>
      <c r="AW91" s="482">
        <f t="shared" si="154"/>
        <v>545.80222222222221</v>
      </c>
      <c r="AX91" s="482">
        <f t="shared" si="155"/>
        <v>548.01499999999999</v>
      </c>
      <c r="AY91" s="482">
        <f t="shared" si="156"/>
        <v>548.5672222222222</v>
      </c>
      <c r="AZ91" s="482">
        <f t="shared" si="157"/>
        <v>512</v>
      </c>
      <c r="BA91" s="482">
        <f t="shared" si="158"/>
        <v>512.55222222222221</v>
      </c>
      <c r="BB91" s="482">
        <f t="shared" si="159"/>
        <v>514.76499999999999</v>
      </c>
      <c r="BC91" s="482">
        <f t="shared" si="160"/>
        <v>515.3172222222222</v>
      </c>
      <c r="BD91" s="482">
        <f t="shared" si="161"/>
        <v>545.25</v>
      </c>
      <c r="BE91" s="482">
        <f t="shared" si="162"/>
        <v>545.80222222222221</v>
      </c>
      <c r="BF91" s="482">
        <f t="shared" si="163"/>
        <v>548.01499999999999</v>
      </c>
      <c r="BG91" s="482">
        <f t="shared" si="164"/>
        <v>548.5672222222222</v>
      </c>
    </row>
    <row r="92" spans="1:59">
      <c r="A92" s="213" t="s">
        <v>5317</v>
      </c>
      <c r="B92" s="231">
        <v>608567550</v>
      </c>
      <c r="C92" s="210" t="s">
        <v>5284</v>
      </c>
      <c r="D92" s="210">
        <v>300</v>
      </c>
      <c r="F92" s="239" t="str" cm="1">
        <f t="array" aca="1" ref="F92" ca="1">MID(met2utc(PEPSSI_Commanding[[#This Row],[MET]]),3,15)</f>
        <v>25-123/08:40:34</v>
      </c>
      <c r="G92" s="213" t="str">
        <f t="shared" si="115"/>
        <v>STAT+300</v>
      </c>
      <c r="H92" s="214">
        <f t="shared" si="116"/>
        <v>608566016</v>
      </c>
      <c r="I92" s="214">
        <f t="shared" si="117"/>
        <v>608567866</v>
      </c>
      <c r="J92" s="213">
        <f t="shared" si="118"/>
        <v>9</v>
      </c>
      <c r="K92" s="213">
        <f t="shared" si="119"/>
        <v>1</v>
      </c>
      <c r="M92" s="210">
        <f t="shared" si="120"/>
        <v>3600</v>
      </c>
      <c r="N92" s="210">
        <f t="shared" si="121"/>
        <v>40</v>
      </c>
      <c r="O92" s="210">
        <f t="shared" si="122"/>
        <v>7200</v>
      </c>
      <c r="P92" s="210">
        <f t="shared" si="123"/>
        <v>300</v>
      </c>
      <c r="Q92" s="210" t="str">
        <f t="shared" si="124"/>
        <v/>
      </c>
      <c r="R92" s="210" t="str">
        <f t="shared" si="125"/>
        <v/>
      </c>
      <c r="S92" s="210" t="str">
        <f t="shared" si="126"/>
        <v/>
      </c>
      <c r="U92" s="482">
        <f t="shared" si="127"/>
        <v>0</v>
      </c>
      <c r="V92" s="482">
        <f t="shared" si="128"/>
        <v>0</v>
      </c>
      <c r="W92" s="482">
        <f t="shared" si="129"/>
        <v>1.7066666666666668</v>
      </c>
      <c r="X92" s="482">
        <f t="shared" si="130"/>
        <v>0.55222222222222217</v>
      </c>
      <c r="Y92" s="482">
        <f t="shared" si="131"/>
        <v>33.25</v>
      </c>
      <c r="Z92" s="482">
        <f t="shared" si="132"/>
        <v>33.25</v>
      </c>
      <c r="AA92" s="482">
        <f t="shared" si="133"/>
        <v>2.7650000000000001</v>
      </c>
      <c r="AB92" s="243"/>
      <c r="AC92" s="482">
        <f t="shared" si="134"/>
        <v>0.55222222222222217</v>
      </c>
      <c r="AD92" s="482">
        <f t="shared" si="135"/>
        <v>2.7650000000000001</v>
      </c>
      <c r="AE92" s="482">
        <f t="shared" si="136"/>
        <v>3.3172222222222221</v>
      </c>
      <c r="AF92" s="482">
        <f t="shared" si="137"/>
        <v>33.25</v>
      </c>
      <c r="AG92" s="482">
        <f t="shared" si="138"/>
        <v>33.80222222222222</v>
      </c>
      <c r="AH92" s="482">
        <f t="shared" si="139"/>
        <v>36.015000000000001</v>
      </c>
      <c r="AI92" s="482">
        <f t="shared" si="140"/>
        <v>36.56722222222222</v>
      </c>
      <c r="AJ92" s="482">
        <f t="shared" si="141"/>
        <v>0</v>
      </c>
      <c r="AK92" s="482">
        <f t="shared" si="142"/>
        <v>0.55222222222222217</v>
      </c>
      <c r="AL92" s="482">
        <f t="shared" si="143"/>
        <v>2.7650000000000001</v>
      </c>
      <c r="AM92" s="482">
        <f t="shared" si="144"/>
        <v>3.3172222222222221</v>
      </c>
      <c r="AN92" s="482">
        <f t="shared" si="145"/>
        <v>33.25</v>
      </c>
      <c r="AO92" s="482">
        <f t="shared" si="146"/>
        <v>33.80222222222222</v>
      </c>
      <c r="AP92" s="482">
        <f t="shared" si="147"/>
        <v>36.015000000000001</v>
      </c>
      <c r="AQ92" s="482">
        <f t="shared" si="148"/>
        <v>36.56722222222222</v>
      </c>
      <c r="AR92" s="482">
        <f t="shared" si="149"/>
        <v>1.7066666666666668</v>
      </c>
      <c r="AS92" s="482">
        <f t="shared" si="150"/>
        <v>2.2588888888888889</v>
      </c>
      <c r="AT92" s="482">
        <f t="shared" si="151"/>
        <v>4.4716666666666667</v>
      </c>
      <c r="AU92" s="482">
        <f t="shared" si="152"/>
        <v>5.0238888888888891</v>
      </c>
      <c r="AV92" s="482">
        <f t="shared" si="153"/>
        <v>34.956666666666663</v>
      </c>
      <c r="AW92" s="482">
        <f t="shared" si="154"/>
        <v>35.508888888888883</v>
      </c>
      <c r="AX92" s="482">
        <f t="shared" si="155"/>
        <v>37.721666666666664</v>
      </c>
      <c r="AY92" s="482">
        <f t="shared" si="156"/>
        <v>38.273888888888884</v>
      </c>
      <c r="AZ92" s="482">
        <f t="shared" si="157"/>
        <v>1.7066666666666668</v>
      </c>
      <c r="BA92" s="482">
        <f t="shared" si="158"/>
        <v>2.2588888888888889</v>
      </c>
      <c r="BB92" s="482">
        <f t="shared" si="159"/>
        <v>4.4716666666666667</v>
      </c>
      <c r="BC92" s="482">
        <f t="shared" si="160"/>
        <v>5.0238888888888891</v>
      </c>
      <c r="BD92" s="482">
        <f t="shared" si="161"/>
        <v>34.956666666666663</v>
      </c>
      <c r="BE92" s="482">
        <f t="shared" si="162"/>
        <v>35.508888888888883</v>
      </c>
      <c r="BF92" s="482">
        <f t="shared" si="163"/>
        <v>37.721666666666664</v>
      </c>
      <c r="BG92" s="482">
        <f t="shared" si="164"/>
        <v>38.273888888888884</v>
      </c>
    </row>
    <row r="93" spans="1:59">
      <c r="A93" s="213" t="s">
        <v>5316</v>
      </c>
      <c r="B93" s="231">
        <v>608567866</v>
      </c>
      <c r="C93" s="210" t="s">
        <v>61</v>
      </c>
      <c r="D93" s="210">
        <v>120</v>
      </c>
      <c r="F93" s="239" t="str" cm="1">
        <f t="array" aca="1" ref="F93" ca="1">MID(met2utc(PEPSSI_Commanding[[#This Row],[MET]]),3,15)</f>
        <v>25-123/08:45:50</v>
      </c>
      <c r="G93" s="213" t="str">
        <f t="shared" si="115"/>
        <v>N2+120</v>
      </c>
      <c r="H93" s="214">
        <f t="shared" si="116"/>
        <v>608567866</v>
      </c>
      <c r="I93" s="214">
        <f t="shared" si="117"/>
        <v>609911766</v>
      </c>
      <c r="J93" s="213">
        <f t="shared" si="118"/>
        <v>10</v>
      </c>
      <c r="K93" s="213">
        <f t="shared" si="119"/>
        <v>6</v>
      </c>
      <c r="M93" s="210">
        <f t="shared" si="120"/>
        <v>3600</v>
      </c>
      <c r="N93" s="210">
        <f t="shared" si="121"/>
        <v>120</v>
      </c>
      <c r="O93" s="210">
        <f t="shared" si="122"/>
        <v>7200</v>
      </c>
      <c r="P93" s="210">
        <f t="shared" si="123"/>
        <v>300</v>
      </c>
      <c r="Q93" s="210" t="str">
        <f t="shared" si="124"/>
        <v/>
      </c>
      <c r="R93" s="210" t="str">
        <f t="shared" si="125"/>
        <v/>
      </c>
      <c r="S93" s="210" t="str">
        <f t="shared" si="126"/>
        <v/>
      </c>
      <c r="U93" s="482">
        <f t="shared" si="127"/>
        <v>0</v>
      </c>
      <c r="V93" s="482">
        <f t="shared" si="128"/>
        <v>0</v>
      </c>
      <c r="W93" s="482">
        <f t="shared" si="129"/>
        <v>1.7066666666666668</v>
      </c>
      <c r="X93" s="482">
        <f t="shared" si="130"/>
        <v>0.55222222222222217</v>
      </c>
      <c r="Y93" s="482">
        <f t="shared" si="131"/>
        <v>11.083333333333334</v>
      </c>
      <c r="Z93" s="482">
        <f t="shared" si="132"/>
        <v>11.083333333333334</v>
      </c>
      <c r="AA93" s="482">
        <f t="shared" si="133"/>
        <v>2.7650000000000001</v>
      </c>
      <c r="AB93" s="243"/>
      <c r="AC93" s="482">
        <f t="shared" si="134"/>
        <v>0.55222222222222217</v>
      </c>
      <c r="AD93" s="482">
        <f t="shared" si="135"/>
        <v>2.7650000000000001</v>
      </c>
      <c r="AE93" s="482">
        <f t="shared" si="136"/>
        <v>3.3172222222222221</v>
      </c>
      <c r="AF93" s="482">
        <f t="shared" si="137"/>
        <v>11.083333333333334</v>
      </c>
      <c r="AG93" s="482">
        <f t="shared" si="138"/>
        <v>11.635555555555555</v>
      </c>
      <c r="AH93" s="482">
        <f t="shared" si="139"/>
        <v>13.848333333333334</v>
      </c>
      <c r="AI93" s="482">
        <f t="shared" si="140"/>
        <v>14.400555555555556</v>
      </c>
      <c r="AJ93" s="482">
        <f t="shared" si="141"/>
        <v>0</v>
      </c>
      <c r="AK93" s="482">
        <f t="shared" si="142"/>
        <v>0.55222222222222217</v>
      </c>
      <c r="AL93" s="482">
        <f t="shared" si="143"/>
        <v>2.7650000000000001</v>
      </c>
      <c r="AM93" s="482">
        <f t="shared" si="144"/>
        <v>3.3172222222222221</v>
      </c>
      <c r="AN93" s="482">
        <f t="shared" si="145"/>
        <v>11.083333333333334</v>
      </c>
      <c r="AO93" s="482">
        <f t="shared" si="146"/>
        <v>11.635555555555555</v>
      </c>
      <c r="AP93" s="482">
        <f t="shared" si="147"/>
        <v>13.848333333333334</v>
      </c>
      <c r="AQ93" s="482">
        <f t="shared" si="148"/>
        <v>14.400555555555556</v>
      </c>
      <c r="AR93" s="482">
        <f t="shared" si="149"/>
        <v>1.7066666666666668</v>
      </c>
      <c r="AS93" s="482">
        <f t="shared" si="150"/>
        <v>2.2588888888888889</v>
      </c>
      <c r="AT93" s="482">
        <f t="shared" si="151"/>
        <v>4.4716666666666667</v>
      </c>
      <c r="AU93" s="482">
        <f t="shared" si="152"/>
        <v>5.0238888888888891</v>
      </c>
      <c r="AV93" s="482">
        <f t="shared" si="153"/>
        <v>12.790000000000001</v>
      </c>
      <c r="AW93" s="482">
        <f t="shared" si="154"/>
        <v>13.342222222222222</v>
      </c>
      <c r="AX93" s="482">
        <f t="shared" si="155"/>
        <v>15.555000000000001</v>
      </c>
      <c r="AY93" s="482">
        <f t="shared" si="156"/>
        <v>16.107222222222223</v>
      </c>
      <c r="AZ93" s="482">
        <f t="shared" si="157"/>
        <v>1.7066666666666668</v>
      </c>
      <c r="BA93" s="482">
        <f t="shared" si="158"/>
        <v>2.2588888888888889</v>
      </c>
      <c r="BB93" s="482">
        <f t="shared" si="159"/>
        <v>4.4716666666666667</v>
      </c>
      <c r="BC93" s="482">
        <f t="shared" si="160"/>
        <v>5.0238888888888891</v>
      </c>
      <c r="BD93" s="482">
        <f t="shared" si="161"/>
        <v>12.790000000000001</v>
      </c>
      <c r="BE93" s="482">
        <f t="shared" si="162"/>
        <v>13.342222222222222</v>
      </c>
      <c r="BF93" s="482">
        <f t="shared" si="163"/>
        <v>15.555000000000001</v>
      </c>
      <c r="BG93" s="482">
        <f t="shared" si="164"/>
        <v>16.107222222222223</v>
      </c>
    </row>
    <row r="94" spans="1:59">
      <c r="A94" s="213" t="s">
        <v>5316</v>
      </c>
      <c r="B94" s="231">
        <v>608567869</v>
      </c>
      <c r="C94" s="210" t="s">
        <v>1</v>
      </c>
      <c r="D94" s="210">
        <v>120</v>
      </c>
      <c r="F94" s="239" t="str" cm="1">
        <f t="array" aca="1" ref="F94" ca="1">MID(met2utc(PEPSSI_Commanding[[#This Row],[MET]]),3,15)</f>
        <v>25-123/08:45:53</v>
      </c>
      <c r="G94" s="213" t="str">
        <f t="shared" si="115"/>
        <v>N1+120</v>
      </c>
      <c r="H94" s="214">
        <f t="shared" si="116"/>
        <v>608567866</v>
      </c>
      <c r="I94" s="214">
        <f t="shared" si="117"/>
        <v>609911766</v>
      </c>
      <c r="J94" s="213">
        <f t="shared" si="118"/>
        <v>11</v>
      </c>
      <c r="K94" s="213">
        <f t="shared" si="119"/>
        <v>5</v>
      </c>
      <c r="M94" s="210">
        <f t="shared" si="120"/>
        <v>120</v>
      </c>
      <c r="N94" s="210">
        <f t="shared" si="121"/>
        <v>120</v>
      </c>
      <c r="O94" s="210">
        <f t="shared" si="122"/>
        <v>7200</v>
      </c>
      <c r="P94" s="210">
        <f t="shared" si="123"/>
        <v>300</v>
      </c>
      <c r="Q94" s="210" t="str">
        <f t="shared" si="124"/>
        <v/>
      </c>
      <c r="R94" s="210" t="str">
        <f t="shared" si="125"/>
        <v/>
      </c>
      <c r="S94" s="210" t="str">
        <f t="shared" si="126"/>
        <v/>
      </c>
      <c r="U94" s="482">
        <f t="shared" si="127"/>
        <v>0</v>
      </c>
      <c r="V94" s="482">
        <f t="shared" si="128"/>
        <v>0</v>
      </c>
      <c r="W94" s="482">
        <f t="shared" si="129"/>
        <v>1.7066666666666668</v>
      </c>
      <c r="X94" s="482">
        <f t="shared" si="130"/>
        <v>16.566666666666666</v>
      </c>
      <c r="Y94" s="482">
        <f t="shared" si="131"/>
        <v>11.083333333333334</v>
      </c>
      <c r="Z94" s="482">
        <f t="shared" si="132"/>
        <v>11.083333333333334</v>
      </c>
      <c r="AA94" s="482">
        <f t="shared" si="133"/>
        <v>2.7650000000000001</v>
      </c>
      <c r="AB94" s="243"/>
      <c r="AC94" s="482">
        <f t="shared" si="134"/>
        <v>16.566666666666666</v>
      </c>
      <c r="AD94" s="482">
        <f t="shared" si="135"/>
        <v>2.7650000000000001</v>
      </c>
      <c r="AE94" s="482">
        <f t="shared" si="136"/>
        <v>19.331666666666667</v>
      </c>
      <c r="AF94" s="482">
        <f t="shared" si="137"/>
        <v>11.083333333333334</v>
      </c>
      <c r="AG94" s="482">
        <f t="shared" si="138"/>
        <v>27.65</v>
      </c>
      <c r="AH94" s="482">
        <f t="shared" si="139"/>
        <v>13.848333333333334</v>
      </c>
      <c r="AI94" s="482">
        <f t="shared" si="140"/>
        <v>30.414999999999999</v>
      </c>
      <c r="AJ94" s="482">
        <f t="shared" si="141"/>
        <v>0</v>
      </c>
      <c r="AK94" s="482">
        <f t="shared" si="142"/>
        <v>16.566666666666666</v>
      </c>
      <c r="AL94" s="482">
        <f t="shared" si="143"/>
        <v>2.7650000000000001</v>
      </c>
      <c r="AM94" s="482">
        <f t="shared" si="144"/>
        <v>19.331666666666667</v>
      </c>
      <c r="AN94" s="482">
        <f t="shared" si="145"/>
        <v>11.083333333333334</v>
      </c>
      <c r="AO94" s="482">
        <f t="shared" si="146"/>
        <v>27.65</v>
      </c>
      <c r="AP94" s="482">
        <f t="shared" si="147"/>
        <v>13.848333333333334</v>
      </c>
      <c r="AQ94" s="482">
        <f t="shared" si="148"/>
        <v>30.414999999999999</v>
      </c>
      <c r="AR94" s="482">
        <f t="shared" si="149"/>
        <v>1.7066666666666668</v>
      </c>
      <c r="AS94" s="482">
        <f t="shared" si="150"/>
        <v>18.273333333333333</v>
      </c>
      <c r="AT94" s="482">
        <f t="shared" si="151"/>
        <v>4.4716666666666667</v>
      </c>
      <c r="AU94" s="482">
        <f t="shared" si="152"/>
        <v>21.038333333333334</v>
      </c>
      <c r="AV94" s="482">
        <f t="shared" si="153"/>
        <v>12.790000000000001</v>
      </c>
      <c r="AW94" s="482">
        <f t="shared" si="154"/>
        <v>29.356666666666669</v>
      </c>
      <c r="AX94" s="482">
        <f t="shared" si="155"/>
        <v>15.555000000000001</v>
      </c>
      <c r="AY94" s="482">
        <f t="shared" si="156"/>
        <v>32.12166666666667</v>
      </c>
      <c r="AZ94" s="482">
        <f t="shared" si="157"/>
        <v>1.7066666666666668</v>
      </c>
      <c r="BA94" s="482">
        <f t="shared" si="158"/>
        <v>18.273333333333333</v>
      </c>
      <c r="BB94" s="482">
        <f t="shared" si="159"/>
        <v>4.4716666666666667</v>
      </c>
      <c r="BC94" s="482">
        <f t="shared" si="160"/>
        <v>21.038333333333334</v>
      </c>
      <c r="BD94" s="482">
        <f t="shared" si="161"/>
        <v>12.790000000000001</v>
      </c>
      <c r="BE94" s="482">
        <f t="shared" si="162"/>
        <v>29.356666666666669</v>
      </c>
      <c r="BF94" s="482">
        <f t="shared" si="163"/>
        <v>15.555000000000001</v>
      </c>
      <c r="BG94" s="482">
        <f t="shared" si="164"/>
        <v>32.12166666666667</v>
      </c>
    </row>
    <row r="95" spans="1:59">
      <c r="A95" s="213" t="s">
        <v>5316</v>
      </c>
      <c r="B95" s="231">
        <v>608567872</v>
      </c>
      <c r="C95" s="210" t="s">
        <v>58</v>
      </c>
      <c r="D95" s="210">
        <v>7200</v>
      </c>
      <c r="F95" s="239" t="str" cm="1">
        <f t="array" aca="1" ref="F95" ca="1">MID(met2utc(PEPSSI_Commanding[[#This Row],[MET]]),3,15)</f>
        <v>25-123/08:45:56</v>
      </c>
      <c r="G95" s="213" t="str">
        <f t="shared" si="115"/>
        <v>N3+7200</v>
      </c>
      <c r="H95" s="214">
        <f t="shared" si="116"/>
        <v>608567866</v>
      </c>
      <c r="I95" s="214">
        <f t="shared" si="117"/>
        <v>609911766</v>
      </c>
      <c r="J95" s="213">
        <f t="shared" si="118"/>
        <v>12</v>
      </c>
      <c r="K95" s="213">
        <f t="shared" si="119"/>
        <v>4</v>
      </c>
      <c r="M95" s="210">
        <f t="shared" si="120"/>
        <v>120</v>
      </c>
      <c r="N95" s="210">
        <f t="shared" si="121"/>
        <v>120</v>
      </c>
      <c r="O95" s="210">
        <f t="shared" si="122"/>
        <v>7200</v>
      </c>
      <c r="P95" s="210">
        <f t="shared" si="123"/>
        <v>300</v>
      </c>
      <c r="Q95" s="210" t="str">
        <f t="shared" si="124"/>
        <v/>
      </c>
      <c r="R95" s="210" t="str">
        <f t="shared" si="125"/>
        <v/>
      </c>
      <c r="S95" s="210" t="str">
        <f t="shared" si="126"/>
        <v/>
      </c>
      <c r="U95" s="482">
        <f t="shared" si="127"/>
        <v>0</v>
      </c>
      <c r="V95" s="482">
        <f t="shared" si="128"/>
        <v>0</v>
      </c>
      <c r="W95" s="482">
        <f t="shared" si="129"/>
        <v>1.7066666666666668</v>
      </c>
      <c r="X95" s="482">
        <f t="shared" si="130"/>
        <v>16.566666666666666</v>
      </c>
      <c r="Y95" s="482">
        <f t="shared" si="131"/>
        <v>11.083333333333334</v>
      </c>
      <c r="Z95" s="482">
        <f t="shared" si="132"/>
        <v>11.083333333333334</v>
      </c>
      <c r="AA95" s="482">
        <f t="shared" si="133"/>
        <v>2.7650000000000001</v>
      </c>
      <c r="AB95" s="243"/>
      <c r="AC95" s="482">
        <f t="shared" si="134"/>
        <v>16.566666666666666</v>
      </c>
      <c r="AD95" s="482">
        <f t="shared" si="135"/>
        <v>2.7650000000000001</v>
      </c>
      <c r="AE95" s="482">
        <f t="shared" si="136"/>
        <v>19.331666666666667</v>
      </c>
      <c r="AF95" s="482">
        <f t="shared" si="137"/>
        <v>11.083333333333334</v>
      </c>
      <c r="AG95" s="482">
        <f t="shared" si="138"/>
        <v>27.65</v>
      </c>
      <c r="AH95" s="482">
        <f t="shared" si="139"/>
        <v>13.848333333333334</v>
      </c>
      <c r="AI95" s="482">
        <f t="shared" si="140"/>
        <v>30.414999999999999</v>
      </c>
      <c r="AJ95" s="482">
        <f t="shared" si="141"/>
        <v>0</v>
      </c>
      <c r="AK95" s="482">
        <f t="shared" si="142"/>
        <v>16.566666666666666</v>
      </c>
      <c r="AL95" s="482">
        <f t="shared" si="143"/>
        <v>2.7650000000000001</v>
      </c>
      <c r="AM95" s="482">
        <f t="shared" si="144"/>
        <v>19.331666666666667</v>
      </c>
      <c r="AN95" s="482">
        <f t="shared" si="145"/>
        <v>11.083333333333334</v>
      </c>
      <c r="AO95" s="482">
        <f t="shared" si="146"/>
        <v>27.65</v>
      </c>
      <c r="AP95" s="482">
        <f t="shared" si="147"/>
        <v>13.848333333333334</v>
      </c>
      <c r="AQ95" s="482">
        <f t="shared" si="148"/>
        <v>30.414999999999999</v>
      </c>
      <c r="AR95" s="482">
        <f t="shared" si="149"/>
        <v>1.7066666666666668</v>
      </c>
      <c r="AS95" s="482">
        <f t="shared" si="150"/>
        <v>18.273333333333333</v>
      </c>
      <c r="AT95" s="482">
        <f t="shared" si="151"/>
        <v>4.4716666666666667</v>
      </c>
      <c r="AU95" s="482">
        <f t="shared" si="152"/>
        <v>21.038333333333334</v>
      </c>
      <c r="AV95" s="482">
        <f t="shared" si="153"/>
        <v>12.790000000000001</v>
      </c>
      <c r="AW95" s="482">
        <f t="shared" si="154"/>
        <v>29.356666666666669</v>
      </c>
      <c r="AX95" s="482">
        <f t="shared" si="155"/>
        <v>15.555000000000001</v>
      </c>
      <c r="AY95" s="482">
        <f t="shared" si="156"/>
        <v>32.12166666666667</v>
      </c>
      <c r="AZ95" s="482">
        <f t="shared" si="157"/>
        <v>1.7066666666666668</v>
      </c>
      <c r="BA95" s="482">
        <f t="shared" si="158"/>
        <v>18.273333333333333</v>
      </c>
      <c r="BB95" s="482">
        <f t="shared" si="159"/>
        <v>4.4716666666666667</v>
      </c>
      <c r="BC95" s="482">
        <f t="shared" si="160"/>
        <v>21.038333333333334</v>
      </c>
      <c r="BD95" s="482">
        <f t="shared" si="161"/>
        <v>12.790000000000001</v>
      </c>
      <c r="BE95" s="482">
        <f t="shared" si="162"/>
        <v>29.356666666666669</v>
      </c>
      <c r="BF95" s="482">
        <f t="shared" si="163"/>
        <v>15.555000000000001</v>
      </c>
      <c r="BG95" s="482">
        <f t="shared" si="164"/>
        <v>32.12166666666667</v>
      </c>
    </row>
    <row r="96" spans="1:59">
      <c r="A96" s="213" t="s">
        <v>5317</v>
      </c>
      <c r="B96" s="231">
        <v>608567875</v>
      </c>
      <c r="C96" s="210" t="s">
        <v>5284</v>
      </c>
      <c r="D96" s="210">
        <v>1800</v>
      </c>
      <c r="F96" s="239" t="str" cm="1">
        <f t="array" aca="1" ref="F96" ca="1">MID(met2utc(PEPSSI_Commanding[[#This Row],[MET]]),3,15)</f>
        <v>25-123/08:45:59</v>
      </c>
      <c r="G96" s="213" t="str">
        <f t="shared" si="115"/>
        <v>STAT+1800</v>
      </c>
      <c r="H96" s="214">
        <f t="shared" si="116"/>
        <v>608567866</v>
      </c>
      <c r="I96" s="214">
        <f t="shared" si="117"/>
        <v>609911766</v>
      </c>
      <c r="J96" s="213">
        <f t="shared" si="118"/>
        <v>13</v>
      </c>
      <c r="K96" s="213">
        <f t="shared" si="119"/>
        <v>3</v>
      </c>
      <c r="M96" s="210">
        <f t="shared" si="120"/>
        <v>120</v>
      </c>
      <c r="N96" s="210">
        <f t="shared" si="121"/>
        <v>120</v>
      </c>
      <c r="O96" s="210">
        <f t="shared" si="122"/>
        <v>7200</v>
      </c>
      <c r="P96" s="210">
        <f t="shared" si="123"/>
        <v>1800</v>
      </c>
      <c r="Q96" s="210" t="str">
        <f t="shared" si="124"/>
        <v/>
      </c>
      <c r="R96" s="210" t="str">
        <f t="shared" si="125"/>
        <v/>
      </c>
      <c r="S96" s="210" t="str">
        <f t="shared" si="126"/>
        <v/>
      </c>
      <c r="U96" s="482">
        <f t="shared" si="127"/>
        <v>0</v>
      </c>
      <c r="V96" s="482">
        <f t="shared" si="128"/>
        <v>0</v>
      </c>
      <c r="W96" s="482">
        <f t="shared" si="129"/>
        <v>0.28444444444444444</v>
      </c>
      <c r="X96" s="482">
        <f t="shared" si="130"/>
        <v>16.566666666666666</v>
      </c>
      <c r="Y96" s="482">
        <f t="shared" si="131"/>
        <v>11.083333333333334</v>
      </c>
      <c r="Z96" s="482">
        <f t="shared" si="132"/>
        <v>11.083333333333334</v>
      </c>
      <c r="AA96" s="482">
        <f t="shared" si="133"/>
        <v>2.7650000000000001</v>
      </c>
      <c r="AB96" s="243"/>
      <c r="AC96" s="482">
        <f t="shared" si="134"/>
        <v>16.566666666666666</v>
      </c>
      <c r="AD96" s="482">
        <f t="shared" si="135"/>
        <v>2.7650000000000001</v>
      </c>
      <c r="AE96" s="482">
        <f t="shared" si="136"/>
        <v>19.331666666666667</v>
      </c>
      <c r="AF96" s="482">
        <f t="shared" si="137"/>
        <v>11.083333333333334</v>
      </c>
      <c r="AG96" s="482">
        <f t="shared" si="138"/>
        <v>27.65</v>
      </c>
      <c r="AH96" s="482">
        <f t="shared" si="139"/>
        <v>13.848333333333334</v>
      </c>
      <c r="AI96" s="482">
        <f t="shared" si="140"/>
        <v>30.414999999999999</v>
      </c>
      <c r="AJ96" s="482">
        <f t="shared" si="141"/>
        <v>0</v>
      </c>
      <c r="AK96" s="482">
        <f t="shared" si="142"/>
        <v>16.566666666666666</v>
      </c>
      <c r="AL96" s="482">
        <f t="shared" si="143"/>
        <v>2.7650000000000001</v>
      </c>
      <c r="AM96" s="482">
        <f t="shared" si="144"/>
        <v>19.331666666666667</v>
      </c>
      <c r="AN96" s="482">
        <f t="shared" si="145"/>
        <v>11.083333333333334</v>
      </c>
      <c r="AO96" s="482">
        <f t="shared" si="146"/>
        <v>27.65</v>
      </c>
      <c r="AP96" s="482">
        <f t="shared" si="147"/>
        <v>13.848333333333334</v>
      </c>
      <c r="AQ96" s="482">
        <f t="shared" si="148"/>
        <v>30.414999999999999</v>
      </c>
      <c r="AR96" s="482">
        <f t="shared" si="149"/>
        <v>0.28444444444444444</v>
      </c>
      <c r="AS96" s="482">
        <f t="shared" si="150"/>
        <v>16.851111111111109</v>
      </c>
      <c r="AT96" s="482">
        <f t="shared" si="151"/>
        <v>3.0494444444444446</v>
      </c>
      <c r="AU96" s="482">
        <f t="shared" si="152"/>
        <v>19.61611111111111</v>
      </c>
      <c r="AV96" s="482">
        <f t="shared" si="153"/>
        <v>11.367777777777778</v>
      </c>
      <c r="AW96" s="482">
        <f t="shared" si="154"/>
        <v>27.934444444444445</v>
      </c>
      <c r="AX96" s="482">
        <f t="shared" si="155"/>
        <v>14.132777777777779</v>
      </c>
      <c r="AY96" s="482">
        <f t="shared" si="156"/>
        <v>30.699444444444445</v>
      </c>
      <c r="AZ96" s="482">
        <f t="shared" si="157"/>
        <v>0.28444444444444444</v>
      </c>
      <c r="BA96" s="482">
        <f t="shared" si="158"/>
        <v>16.851111111111109</v>
      </c>
      <c r="BB96" s="482">
        <f t="shared" si="159"/>
        <v>3.0494444444444446</v>
      </c>
      <c r="BC96" s="482">
        <f t="shared" si="160"/>
        <v>19.61611111111111</v>
      </c>
      <c r="BD96" s="482">
        <f t="shared" si="161"/>
        <v>11.367777777777778</v>
      </c>
      <c r="BE96" s="482">
        <f t="shared" si="162"/>
        <v>27.934444444444445</v>
      </c>
      <c r="BF96" s="482">
        <f t="shared" si="163"/>
        <v>14.132777777777779</v>
      </c>
      <c r="BG96" s="482">
        <f t="shared" si="164"/>
        <v>30.699444444444445</v>
      </c>
    </row>
    <row r="97" spans="1:81">
      <c r="A97" s="213" t="s">
        <v>5315</v>
      </c>
      <c r="B97" s="231">
        <v>608568476</v>
      </c>
      <c r="C97" s="210" t="s">
        <v>5285</v>
      </c>
      <c r="D97" s="210">
        <v>101</v>
      </c>
      <c r="F97" s="239" t="str" cm="1">
        <f t="array" aca="1" ref="F97" ca="1">MID(met2utc(PEPSSI_Commanding[[#This Row],[MET]]),3,15)</f>
        <v>25-123/08:56:00</v>
      </c>
      <c r="G97" s="213" t="str">
        <f t="shared" si="115"/>
        <v>MAC+101</v>
      </c>
      <c r="H97" s="214">
        <f t="shared" si="116"/>
        <v>608567866</v>
      </c>
      <c r="I97" s="214">
        <f t="shared" si="117"/>
        <v>609911766</v>
      </c>
      <c r="J97" s="213">
        <f t="shared" si="118"/>
        <v>14</v>
      </c>
      <c r="K97" s="213">
        <f t="shared" si="119"/>
        <v>2</v>
      </c>
      <c r="M97" s="210">
        <f t="shared" si="120"/>
        <v>120</v>
      </c>
      <c r="N97" s="210">
        <f t="shared" si="121"/>
        <v>120</v>
      </c>
      <c r="O97" s="210">
        <f t="shared" si="122"/>
        <v>7200</v>
      </c>
      <c r="P97" s="210">
        <f t="shared" si="123"/>
        <v>1800</v>
      </c>
      <c r="Q97" s="210" t="str">
        <f t="shared" si="124"/>
        <v/>
      </c>
      <c r="R97" s="210">
        <f t="shared" si="125"/>
        <v>600</v>
      </c>
      <c r="S97" s="210" t="str">
        <f t="shared" si="126"/>
        <v/>
      </c>
      <c r="U97" s="482">
        <f t="shared" si="127"/>
        <v>7.3437500000000003E-2</v>
      </c>
      <c r="V97" s="482">
        <f t="shared" si="128"/>
        <v>0.3046875</v>
      </c>
      <c r="W97" s="482">
        <f t="shared" si="129"/>
        <v>0.28444444444444444</v>
      </c>
      <c r="X97" s="482">
        <f t="shared" si="130"/>
        <v>16.566666666666666</v>
      </c>
      <c r="Y97" s="482">
        <f t="shared" si="131"/>
        <v>11.083333333333334</v>
      </c>
      <c r="Z97" s="482">
        <f t="shared" si="132"/>
        <v>0.15393518518518517</v>
      </c>
      <c r="AA97" s="482">
        <f t="shared" si="133"/>
        <v>2.7650000000000001</v>
      </c>
      <c r="AB97" s="243"/>
      <c r="AC97" s="482">
        <f t="shared" si="134"/>
        <v>16.566666666666666</v>
      </c>
      <c r="AD97" s="482">
        <f t="shared" si="135"/>
        <v>2.7650000000000001</v>
      </c>
      <c r="AE97" s="482">
        <f t="shared" si="136"/>
        <v>19.331666666666667</v>
      </c>
      <c r="AF97" s="482">
        <f t="shared" si="137"/>
        <v>0.45862268518518517</v>
      </c>
      <c r="AG97" s="482">
        <f t="shared" si="138"/>
        <v>17.025289351851853</v>
      </c>
      <c r="AH97" s="482">
        <f t="shared" si="139"/>
        <v>3.2236226851851852</v>
      </c>
      <c r="AI97" s="482">
        <f t="shared" si="140"/>
        <v>19.79028935185185</v>
      </c>
      <c r="AJ97" s="482">
        <f t="shared" si="141"/>
        <v>7.3437500000000003E-2</v>
      </c>
      <c r="AK97" s="482">
        <f t="shared" si="142"/>
        <v>16.640104166666667</v>
      </c>
      <c r="AL97" s="482">
        <f t="shared" si="143"/>
        <v>2.8384374999999999</v>
      </c>
      <c r="AM97" s="482">
        <f t="shared" si="144"/>
        <v>19.405104166666668</v>
      </c>
      <c r="AN97" s="482">
        <f t="shared" si="145"/>
        <v>0.53206018518518516</v>
      </c>
      <c r="AO97" s="482">
        <f t="shared" si="146"/>
        <v>17.09872685185185</v>
      </c>
      <c r="AP97" s="482">
        <f t="shared" si="147"/>
        <v>3.2970601851851855</v>
      </c>
      <c r="AQ97" s="482">
        <f t="shared" si="148"/>
        <v>19.863726851851851</v>
      </c>
      <c r="AR97" s="482">
        <f t="shared" si="149"/>
        <v>0.28444444444444444</v>
      </c>
      <c r="AS97" s="482">
        <f t="shared" si="150"/>
        <v>16.851111111111109</v>
      </c>
      <c r="AT97" s="482">
        <f t="shared" si="151"/>
        <v>3.0494444444444446</v>
      </c>
      <c r="AU97" s="482">
        <f t="shared" si="152"/>
        <v>19.61611111111111</v>
      </c>
      <c r="AV97" s="482">
        <f t="shared" si="153"/>
        <v>0.74306712962962962</v>
      </c>
      <c r="AW97" s="482">
        <f t="shared" si="154"/>
        <v>17.309733796296296</v>
      </c>
      <c r="AX97" s="482">
        <f t="shared" si="155"/>
        <v>3.5080671296296297</v>
      </c>
      <c r="AY97" s="482">
        <f t="shared" si="156"/>
        <v>20.074733796296297</v>
      </c>
      <c r="AZ97" s="482">
        <f t="shared" si="157"/>
        <v>0.35788194444444443</v>
      </c>
      <c r="BA97" s="482">
        <f t="shared" si="158"/>
        <v>16.92454861111111</v>
      </c>
      <c r="BB97" s="482">
        <f t="shared" si="159"/>
        <v>3.1228819444444444</v>
      </c>
      <c r="BC97" s="482">
        <f t="shared" si="160"/>
        <v>19.68954861111111</v>
      </c>
      <c r="BD97" s="482">
        <f t="shared" si="161"/>
        <v>0.81650462962962966</v>
      </c>
      <c r="BE97" s="482">
        <f t="shared" si="162"/>
        <v>17.383171296296297</v>
      </c>
      <c r="BF97" s="482">
        <f t="shared" si="163"/>
        <v>3.58150462962963</v>
      </c>
      <c r="BG97" s="482">
        <f t="shared" si="164"/>
        <v>20.148171296296297</v>
      </c>
    </row>
    <row r="98" spans="1:81">
      <c r="A98" s="213" t="s">
        <v>5315</v>
      </c>
      <c r="B98" s="231">
        <v>608572076</v>
      </c>
      <c r="C98" s="210" t="s">
        <v>5285</v>
      </c>
      <c r="D98" s="210">
        <v>102</v>
      </c>
      <c r="F98" s="239" t="str" cm="1">
        <f t="array" aca="1" ref="F98" ca="1">MID(met2utc(PEPSSI_Commanding[[#This Row],[MET]]),3,15)</f>
        <v>25-123/09:56:00</v>
      </c>
      <c r="G98" s="213" t="str">
        <f t="shared" si="115"/>
        <v>MAC+102</v>
      </c>
      <c r="H98" s="214">
        <f t="shared" si="116"/>
        <v>608567866</v>
      </c>
      <c r="I98" s="214">
        <f t="shared" si="117"/>
        <v>609911766</v>
      </c>
      <c r="J98" s="213">
        <f t="shared" si="118"/>
        <v>15</v>
      </c>
      <c r="K98" s="213">
        <f t="shared" si="119"/>
        <v>1</v>
      </c>
      <c r="M98" s="210">
        <f t="shared" si="120"/>
        <v>120</v>
      </c>
      <c r="N98" s="210">
        <f t="shared" si="121"/>
        <v>120</v>
      </c>
      <c r="O98" s="210">
        <f t="shared" si="122"/>
        <v>7200</v>
      </c>
      <c r="P98" s="210">
        <f t="shared" si="123"/>
        <v>1800</v>
      </c>
      <c r="Q98" s="210" t="str">
        <f t="shared" si="124"/>
        <v/>
      </c>
      <c r="R98" s="210">
        <f t="shared" si="125"/>
        <v>600</v>
      </c>
      <c r="S98" s="210" t="str">
        <f t="shared" si="126"/>
        <v>102</v>
      </c>
      <c r="U98" s="482">
        <f t="shared" si="127"/>
        <v>7.3437500000000003E-2</v>
      </c>
      <c r="V98" s="482">
        <f t="shared" si="128"/>
        <v>0.3046875</v>
      </c>
      <c r="W98" s="482">
        <f t="shared" si="129"/>
        <v>0.28444444444444444</v>
      </c>
      <c r="X98" s="482">
        <f t="shared" si="130"/>
        <v>16.566666666666666</v>
      </c>
      <c r="Y98" s="482">
        <f t="shared" si="131"/>
        <v>11.083333333333334</v>
      </c>
      <c r="Z98" s="482">
        <f t="shared" si="132"/>
        <v>0.15393518518518517</v>
      </c>
      <c r="AA98" s="482">
        <f t="shared" si="133"/>
        <v>2.7650000000000001</v>
      </c>
      <c r="AB98" s="243"/>
      <c r="AC98" s="482">
        <f t="shared" si="134"/>
        <v>16.566666666666666</v>
      </c>
      <c r="AD98" s="482">
        <f t="shared" si="135"/>
        <v>3.0696875000000001</v>
      </c>
      <c r="AE98" s="482">
        <f t="shared" si="136"/>
        <v>19.636354166666667</v>
      </c>
      <c r="AF98" s="482">
        <f t="shared" si="137"/>
        <v>0.15393518518518517</v>
      </c>
      <c r="AG98" s="482">
        <f t="shared" si="138"/>
        <v>16.720601851851853</v>
      </c>
      <c r="AH98" s="482">
        <f t="shared" si="139"/>
        <v>3.2236226851851852</v>
      </c>
      <c r="AI98" s="482">
        <f t="shared" si="140"/>
        <v>19.79028935185185</v>
      </c>
      <c r="AJ98" s="482">
        <f t="shared" si="141"/>
        <v>7.3437500000000003E-2</v>
      </c>
      <c r="AK98" s="482">
        <f t="shared" si="142"/>
        <v>16.640104166666667</v>
      </c>
      <c r="AL98" s="482">
        <f t="shared" si="143"/>
        <v>3.1431249999999999</v>
      </c>
      <c r="AM98" s="482">
        <f t="shared" si="144"/>
        <v>19.709791666666668</v>
      </c>
      <c r="AN98" s="482">
        <f t="shared" si="145"/>
        <v>0.22737268518518516</v>
      </c>
      <c r="AO98" s="482">
        <f t="shared" si="146"/>
        <v>16.79403935185185</v>
      </c>
      <c r="AP98" s="482">
        <f t="shared" si="147"/>
        <v>3.2970601851851855</v>
      </c>
      <c r="AQ98" s="482">
        <f t="shared" si="148"/>
        <v>19.863726851851851</v>
      </c>
      <c r="AR98" s="482">
        <f t="shared" si="149"/>
        <v>0.28444444444444444</v>
      </c>
      <c r="AS98" s="482">
        <f t="shared" si="150"/>
        <v>16.851111111111109</v>
      </c>
      <c r="AT98" s="482">
        <f t="shared" si="151"/>
        <v>3.3541319444444446</v>
      </c>
      <c r="AU98" s="482">
        <f t="shared" si="152"/>
        <v>19.92079861111111</v>
      </c>
      <c r="AV98" s="482">
        <f t="shared" si="153"/>
        <v>0.43837962962962962</v>
      </c>
      <c r="AW98" s="482">
        <f t="shared" si="154"/>
        <v>17.005046296296296</v>
      </c>
      <c r="AX98" s="482">
        <f t="shared" si="155"/>
        <v>3.5080671296296297</v>
      </c>
      <c r="AY98" s="482">
        <f t="shared" si="156"/>
        <v>20.074733796296297</v>
      </c>
      <c r="AZ98" s="482">
        <f t="shared" si="157"/>
        <v>0.35788194444444443</v>
      </c>
      <c r="BA98" s="482">
        <f t="shared" si="158"/>
        <v>16.92454861111111</v>
      </c>
      <c r="BB98" s="482">
        <f t="shared" si="159"/>
        <v>3.4275694444444444</v>
      </c>
      <c r="BC98" s="482">
        <f t="shared" si="160"/>
        <v>19.99423611111111</v>
      </c>
      <c r="BD98" s="482">
        <f t="shared" si="161"/>
        <v>0.51181712962962966</v>
      </c>
      <c r="BE98" s="482">
        <f t="shared" si="162"/>
        <v>17.078483796296297</v>
      </c>
      <c r="BF98" s="482">
        <f t="shared" si="163"/>
        <v>3.58150462962963</v>
      </c>
      <c r="BG98" s="482">
        <f t="shared" si="164"/>
        <v>20.148171296296297</v>
      </c>
    </row>
    <row r="99" spans="1:81">
      <c r="A99" s="213" t="s">
        <v>5314</v>
      </c>
      <c r="B99" s="231">
        <v>609911766</v>
      </c>
      <c r="C99" s="210" t="s">
        <v>5318</v>
      </c>
      <c r="F99" s="239" t="str" cm="1">
        <f t="array" aca="1" ref="F99" ca="1">MID(met2utc(PEPSSI_Commanding[[#This Row],[MET]]),3,15)</f>
        <v>25-138/22:04:10</v>
      </c>
      <c r="G99" s="213" t="str">
        <f t="shared" si="115"/>
        <v>OFF</v>
      </c>
      <c r="H99" s="214">
        <f t="shared" si="116"/>
        <v>608567866</v>
      </c>
      <c r="I99" s="214">
        <f t="shared" si="117"/>
        <v>609911766</v>
      </c>
      <c r="J99" s="213">
        <f t="shared" si="118"/>
        <v>16</v>
      </c>
      <c r="K99" s="213">
        <f t="shared" si="119"/>
        <v>0</v>
      </c>
      <c r="M99" s="210">
        <f t="shared" si="120"/>
        <v>120</v>
      </c>
      <c r="N99" s="210">
        <f t="shared" si="121"/>
        <v>120</v>
      </c>
      <c r="O99" s="210">
        <f t="shared" si="122"/>
        <v>7200</v>
      </c>
      <c r="P99" s="210">
        <f t="shared" si="123"/>
        <v>1800</v>
      </c>
      <c r="Q99" s="210" t="str">
        <f t="shared" si="124"/>
        <v/>
      </c>
      <c r="R99" s="210">
        <f t="shared" si="125"/>
        <v>600</v>
      </c>
      <c r="S99" s="210" t="str">
        <f t="shared" si="126"/>
        <v>102</v>
      </c>
      <c r="U99" s="482">
        <f t="shared" si="127"/>
        <v>7.3437500000000003E-2</v>
      </c>
      <c r="V99" s="482">
        <f t="shared" si="128"/>
        <v>0.3046875</v>
      </c>
      <c r="W99" s="482">
        <f t="shared" si="129"/>
        <v>0.28444444444444444</v>
      </c>
      <c r="X99" s="482">
        <f t="shared" si="130"/>
        <v>16.566666666666666</v>
      </c>
      <c r="Y99" s="482">
        <f t="shared" si="131"/>
        <v>11.083333333333334</v>
      </c>
      <c r="Z99" s="482">
        <f t="shared" si="132"/>
        <v>0.15393518518518517</v>
      </c>
      <c r="AA99" s="482">
        <f t="shared" si="133"/>
        <v>2.7650000000000001</v>
      </c>
      <c r="AB99" s="243"/>
      <c r="AC99" s="482">
        <f t="shared" si="134"/>
        <v>16.566666666666666</v>
      </c>
      <c r="AD99" s="482">
        <f t="shared" si="135"/>
        <v>3.0696875000000001</v>
      </c>
      <c r="AE99" s="482">
        <f t="shared" si="136"/>
        <v>19.636354166666667</v>
      </c>
      <c r="AF99" s="482">
        <f t="shared" si="137"/>
        <v>0.15393518518518517</v>
      </c>
      <c r="AG99" s="482">
        <f t="shared" si="138"/>
        <v>16.720601851851853</v>
      </c>
      <c r="AH99" s="482">
        <f t="shared" si="139"/>
        <v>3.2236226851851852</v>
      </c>
      <c r="AI99" s="482">
        <f t="shared" si="140"/>
        <v>19.79028935185185</v>
      </c>
      <c r="AJ99" s="482">
        <f t="shared" si="141"/>
        <v>7.3437500000000003E-2</v>
      </c>
      <c r="AK99" s="482">
        <f t="shared" si="142"/>
        <v>16.640104166666667</v>
      </c>
      <c r="AL99" s="482">
        <f t="shared" si="143"/>
        <v>3.1431249999999999</v>
      </c>
      <c r="AM99" s="482">
        <f t="shared" si="144"/>
        <v>19.709791666666668</v>
      </c>
      <c r="AN99" s="482">
        <f t="shared" si="145"/>
        <v>0.22737268518518516</v>
      </c>
      <c r="AO99" s="482">
        <f t="shared" si="146"/>
        <v>16.79403935185185</v>
      </c>
      <c r="AP99" s="482">
        <f t="shared" si="147"/>
        <v>3.2970601851851855</v>
      </c>
      <c r="AQ99" s="482">
        <f t="shared" si="148"/>
        <v>19.863726851851851</v>
      </c>
      <c r="AR99" s="482">
        <f t="shared" si="149"/>
        <v>0.28444444444444444</v>
      </c>
      <c r="AS99" s="482">
        <f t="shared" si="150"/>
        <v>16.851111111111109</v>
      </c>
      <c r="AT99" s="482">
        <f t="shared" si="151"/>
        <v>3.3541319444444446</v>
      </c>
      <c r="AU99" s="482">
        <f t="shared" si="152"/>
        <v>19.92079861111111</v>
      </c>
      <c r="AV99" s="482">
        <f t="shared" si="153"/>
        <v>0.43837962962962962</v>
      </c>
      <c r="AW99" s="482">
        <f t="shared" si="154"/>
        <v>17.005046296296296</v>
      </c>
      <c r="AX99" s="482">
        <f t="shared" si="155"/>
        <v>3.5080671296296297</v>
      </c>
      <c r="AY99" s="482">
        <f t="shared" si="156"/>
        <v>20.074733796296297</v>
      </c>
      <c r="AZ99" s="482">
        <f t="shared" si="157"/>
        <v>0.35788194444444443</v>
      </c>
      <c r="BA99" s="482">
        <f t="shared" si="158"/>
        <v>16.92454861111111</v>
      </c>
      <c r="BB99" s="482">
        <f t="shared" si="159"/>
        <v>3.4275694444444444</v>
      </c>
      <c r="BC99" s="482">
        <f t="shared" si="160"/>
        <v>19.99423611111111</v>
      </c>
      <c r="BD99" s="482">
        <f t="shared" si="161"/>
        <v>0.51181712962962966</v>
      </c>
      <c r="BE99" s="482">
        <f t="shared" si="162"/>
        <v>17.078483796296297</v>
      </c>
      <c r="BF99" s="482">
        <f t="shared" si="163"/>
        <v>3.58150462962963</v>
      </c>
      <c r="BG99" s="482">
        <f t="shared" si="164"/>
        <v>20.148171296296297</v>
      </c>
    </row>
    <row r="100" spans="1:81">
      <c r="A100" s="213" t="s">
        <v>5314</v>
      </c>
      <c r="B100" s="231">
        <v>609912716</v>
      </c>
      <c r="C100" s="210" t="s">
        <v>433</v>
      </c>
      <c r="F100" s="239" t="str" cm="1">
        <f t="array" aca="1" ref="F100" ca="1">MID(met2utc(PEPSSI_Commanding[[#This Row],[MET]]),3,15)</f>
        <v>25-138/22:20:00</v>
      </c>
      <c r="G100" s="213" t="str">
        <f t="shared" si="115"/>
        <v>ON</v>
      </c>
      <c r="H100" s="214">
        <f t="shared" si="116"/>
        <v>609912716</v>
      </c>
      <c r="I100" s="214">
        <f t="shared" si="117"/>
        <v>609914566</v>
      </c>
      <c r="J100" s="213">
        <f t="shared" si="118"/>
        <v>0</v>
      </c>
      <c r="K100" s="213">
        <f t="shared" si="119"/>
        <v>10</v>
      </c>
      <c r="M100" s="210" t="str">
        <f t="shared" si="120"/>
        <v/>
      </c>
      <c r="N100" s="210" t="str">
        <f t="shared" si="121"/>
        <v/>
      </c>
      <c r="O100" s="210" t="str">
        <f t="shared" si="122"/>
        <v/>
      </c>
      <c r="P100" s="210" t="str">
        <f t="shared" si="123"/>
        <v/>
      </c>
      <c r="Q100" s="210" t="str">
        <f t="shared" si="124"/>
        <v/>
      </c>
      <c r="R100" s="210" t="str">
        <f t="shared" si="125"/>
        <v/>
      </c>
      <c r="S100" s="210" t="str">
        <f t="shared" si="126"/>
        <v/>
      </c>
      <c r="U100" s="482">
        <f t="shared" si="127"/>
        <v>0</v>
      </c>
      <c r="V100" s="482">
        <f t="shared" si="128"/>
        <v>0</v>
      </c>
      <c r="W100" s="482">
        <f t="shared" si="129"/>
        <v>0</v>
      </c>
      <c r="X100" s="482">
        <f t="shared" si="130"/>
        <v>0</v>
      </c>
      <c r="Y100" s="482">
        <f t="shared" si="131"/>
        <v>0</v>
      </c>
      <c r="Z100" s="482">
        <f t="shared" si="132"/>
        <v>0</v>
      </c>
      <c r="AA100" s="482">
        <f t="shared" si="133"/>
        <v>0</v>
      </c>
      <c r="AB100" s="243"/>
      <c r="AC100" s="482">
        <f t="shared" si="134"/>
        <v>0</v>
      </c>
      <c r="AD100" s="482">
        <f t="shared" si="135"/>
        <v>0</v>
      </c>
      <c r="AE100" s="482">
        <f t="shared" si="136"/>
        <v>0</v>
      </c>
      <c r="AF100" s="482">
        <f t="shared" si="137"/>
        <v>0</v>
      </c>
      <c r="AG100" s="482">
        <f t="shared" si="138"/>
        <v>0</v>
      </c>
      <c r="AH100" s="482">
        <f t="shared" si="139"/>
        <v>0</v>
      </c>
      <c r="AI100" s="482">
        <f t="shared" si="140"/>
        <v>0</v>
      </c>
      <c r="AJ100" s="482">
        <f t="shared" si="141"/>
        <v>0</v>
      </c>
      <c r="AK100" s="482">
        <f t="shared" si="142"/>
        <v>0</v>
      </c>
      <c r="AL100" s="482">
        <f t="shared" si="143"/>
        <v>0</v>
      </c>
      <c r="AM100" s="482">
        <f t="shared" si="144"/>
        <v>0</v>
      </c>
      <c r="AN100" s="482">
        <f t="shared" si="145"/>
        <v>0</v>
      </c>
      <c r="AO100" s="482">
        <f t="shared" si="146"/>
        <v>0</v>
      </c>
      <c r="AP100" s="482">
        <f t="shared" si="147"/>
        <v>0</v>
      </c>
      <c r="AQ100" s="482">
        <f t="shared" si="148"/>
        <v>0</v>
      </c>
      <c r="AR100" s="482">
        <f t="shared" si="149"/>
        <v>0</v>
      </c>
      <c r="AS100" s="482">
        <f t="shared" si="150"/>
        <v>0</v>
      </c>
      <c r="AT100" s="482">
        <f t="shared" si="151"/>
        <v>0</v>
      </c>
      <c r="AU100" s="482">
        <f t="shared" si="152"/>
        <v>0</v>
      </c>
      <c r="AV100" s="482">
        <f t="shared" si="153"/>
        <v>0</v>
      </c>
      <c r="AW100" s="482">
        <f t="shared" si="154"/>
        <v>0</v>
      </c>
      <c r="AX100" s="482">
        <f t="shared" si="155"/>
        <v>0</v>
      </c>
      <c r="AY100" s="482">
        <f t="shared" si="156"/>
        <v>0</v>
      </c>
      <c r="AZ100" s="482">
        <f t="shared" si="157"/>
        <v>0</v>
      </c>
      <c r="BA100" s="482">
        <f t="shared" si="158"/>
        <v>0</v>
      </c>
      <c r="BB100" s="482">
        <f t="shared" si="159"/>
        <v>0</v>
      </c>
      <c r="BC100" s="482">
        <f t="shared" si="160"/>
        <v>0</v>
      </c>
      <c r="BD100" s="482">
        <f t="shared" si="161"/>
        <v>0</v>
      </c>
      <c r="BE100" s="482">
        <f t="shared" si="162"/>
        <v>0</v>
      </c>
      <c r="BF100" s="482">
        <f t="shared" si="163"/>
        <v>0</v>
      </c>
      <c r="BG100" s="482">
        <f t="shared" si="164"/>
        <v>0</v>
      </c>
    </row>
    <row r="101" spans="1:81">
      <c r="A101" s="213" t="s">
        <v>5315</v>
      </c>
      <c r="B101" s="231">
        <v>609912761</v>
      </c>
      <c r="C101" s="210" t="s">
        <v>5285</v>
      </c>
      <c r="D101" s="210">
        <v>10</v>
      </c>
      <c r="F101" s="239" t="str" cm="1">
        <f t="array" aca="1" ref="F101" ca="1">MID(met2utc(PEPSSI_Commanding[[#This Row],[MET]]),3,15)</f>
        <v>25-138/22:20:45</v>
      </c>
      <c r="G101" s="213" t="str">
        <f t="shared" si="115"/>
        <v>MAC+10</v>
      </c>
      <c r="H101" s="214">
        <f t="shared" si="116"/>
        <v>609912716</v>
      </c>
      <c r="I101" s="214">
        <f t="shared" si="117"/>
        <v>609914566</v>
      </c>
      <c r="J101" s="213">
        <f t="shared" si="118"/>
        <v>1</v>
      </c>
      <c r="K101" s="213">
        <f t="shared" si="119"/>
        <v>9</v>
      </c>
      <c r="M101" s="210" t="str">
        <f t="shared" si="120"/>
        <v/>
      </c>
      <c r="N101" s="210" t="str">
        <f t="shared" si="121"/>
        <v/>
      </c>
      <c r="O101" s="210" t="str">
        <f t="shared" si="122"/>
        <v/>
      </c>
      <c r="P101" s="210" t="str">
        <f t="shared" si="123"/>
        <v/>
      </c>
      <c r="Q101" s="210" t="str">
        <f t="shared" si="124"/>
        <v/>
      </c>
      <c r="R101" s="210" t="str">
        <f t="shared" si="125"/>
        <v/>
      </c>
      <c r="S101" s="210" t="str">
        <f t="shared" si="126"/>
        <v/>
      </c>
      <c r="U101" s="482">
        <f t="shared" si="127"/>
        <v>0</v>
      </c>
      <c r="V101" s="482">
        <f t="shared" si="128"/>
        <v>0</v>
      </c>
      <c r="W101" s="482">
        <f t="shared" si="129"/>
        <v>0</v>
      </c>
      <c r="X101" s="482">
        <f t="shared" si="130"/>
        <v>0</v>
      </c>
      <c r="Y101" s="482">
        <f t="shared" si="131"/>
        <v>0</v>
      </c>
      <c r="Z101" s="482">
        <f t="shared" si="132"/>
        <v>0</v>
      </c>
      <c r="AA101" s="482">
        <f t="shared" si="133"/>
        <v>0</v>
      </c>
      <c r="AB101" s="243"/>
      <c r="AC101" s="482">
        <f t="shared" si="134"/>
        <v>0</v>
      </c>
      <c r="AD101" s="482">
        <f t="shared" si="135"/>
        <v>0</v>
      </c>
      <c r="AE101" s="482">
        <f t="shared" si="136"/>
        <v>0</v>
      </c>
      <c r="AF101" s="482">
        <f t="shared" si="137"/>
        <v>0</v>
      </c>
      <c r="AG101" s="482">
        <f t="shared" si="138"/>
        <v>0</v>
      </c>
      <c r="AH101" s="482">
        <f t="shared" si="139"/>
        <v>0</v>
      </c>
      <c r="AI101" s="482">
        <f t="shared" si="140"/>
        <v>0</v>
      </c>
      <c r="AJ101" s="482">
        <f t="shared" si="141"/>
        <v>0</v>
      </c>
      <c r="AK101" s="482">
        <f t="shared" si="142"/>
        <v>0</v>
      </c>
      <c r="AL101" s="482">
        <f t="shared" si="143"/>
        <v>0</v>
      </c>
      <c r="AM101" s="482">
        <f t="shared" si="144"/>
        <v>0</v>
      </c>
      <c r="AN101" s="482">
        <f t="shared" si="145"/>
        <v>0</v>
      </c>
      <c r="AO101" s="482">
        <f t="shared" si="146"/>
        <v>0</v>
      </c>
      <c r="AP101" s="482">
        <f t="shared" si="147"/>
        <v>0</v>
      </c>
      <c r="AQ101" s="482">
        <f t="shared" si="148"/>
        <v>0</v>
      </c>
      <c r="AR101" s="482">
        <f t="shared" si="149"/>
        <v>0</v>
      </c>
      <c r="AS101" s="482">
        <f t="shared" si="150"/>
        <v>0</v>
      </c>
      <c r="AT101" s="482">
        <f t="shared" si="151"/>
        <v>0</v>
      </c>
      <c r="AU101" s="482">
        <f t="shared" si="152"/>
        <v>0</v>
      </c>
      <c r="AV101" s="482">
        <f t="shared" si="153"/>
        <v>0</v>
      </c>
      <c r="AW101" s="482">
        <f t="shared" si="154"/>
        <v>0</v>
      </c>
      <c r="AX101" s="482">
        <f t="shared" si="155"/>
        <v>0</v>
      </c>
      <c r="AY101" s="482">
        <f t="shared" si="156"/>
        <v>0</v>
      </c>
      <c r="AZ101" s="482">
        <f t="shared" si="157"/>
        <v>0</v>
      </c>
      <c r="BA101" s="482">
        <f t="shared" si="158"/>
        <v>0</v>
      </c>
      <c r="BB101" s="482">
        <f t="shared" si="159"/>
        <v>0</v>
      </c>
      <c r="BC101" s="482">
        <f t="shared" si="160"/>
        <v>0</v>
      </c>
      <c r="BD101" s="482">
        <f t="shared" si="161"/>
        <v>0</v>
      </c>
      <c r="BE101" s="482">
        <f t="shared" si="162"/>
        <v>0</v>
      </c>
      <c r="BF101" s="482">
        <f t="shared" si="163"/>
        <v>0</v>
      </c>
      <c r="BG101" s="482">
        <f t="shared" si="164"/>
        <v>0</v>
      </c>
      <c r="CC101" s="248"/>
    </row>
    <row r="102" spans="1:81">
      <c r="A102" s="213" t="s">
        <v>5316</v>
      </c>
      <c r="B102" s="231">
        <v>609912761</v>
      </c>
      <c r="C102" s="210" t="s">
        <v>61</v>
      </c>
      <c r="D102" s="210">
        <v>10</v>
      </c>
      <c r="F102" s="239" t="str" cm="1">
        <f t="array" aca="1" ref="F102" ca="1">MID(met2utc(PEPSSI_Commanding[[#This Row],[MET]]),3,15)</f>
        <v>25-138/22:20:45</v>
      </c>
      <c r="G102" s="213" t="str">
        <f t="shared" si="115"/>
        <v>N2+10</v>
      </c>
      <c r="H102" s="214">
        <f t="shared" si="116"/>
        <v>609912716</v>
      </c>
      <c r="I102" s="214">
        <f t="shared" si="117"/>
        <v>609914566</v>
      </c>
      <c r="J102" s="213">
        <f t="shared" si="118"/>
        <v>2</v>
      </c>
      <c r="K102" s="213">
        <f t="shared" si="119"/>
        <v>8</v>
      </c>
      <c r="M102" s="210" t="str">
        <f t="shared" si="120"/>
        <v/>
      </c>
      <c r="N102" s="210">
        <f t="shared" si="121"/>
        <v>10</v>
      </c>
      <c r="O102" s="210" t="str">
        <f t="shared" si="122"/>
        <v/>
      </c>
      <c r="P102" s="210" t="str">
        <f t="shared" si="123"/>
        <v/>
      </c>
      <c r="Q102" s="210" t="str">
        <f t="shared" si="124"/>
        <v/>
      </c>
      <c r="R102" s="210" t="str">
        <f t="shared" si="125"/>
        <v/>
      </c>
      <c r="S102" s="210" t="str">
        <f t="shared" si="126"/>
        <v/>
      </c>
      <c r="U102" s="482">
        <f t="shared" si="127"/>
        <v>0</v>
      </c>
      <c r="V102" s="482">
        <f t="shared" si="128"/>
        <v>0</v>
      </c>
      <c r="W102" s="482">
        <f t="shared" si="129"/>
        <v>0</v>
      </c>
      <c r="X102" s="482">
        <f t="shared" si="130"/>
        <v>0</v>
      </c>
      <c r="Y102" s="482">
        <f t="shared" si="131"/>
        <v>133</v>
      </c>
      <c r="Z102" s="482">
        <f t="shared" si="132"/>
        <v>133</v>
      </c>
      <c r="AA102" s="482">
        <f t="shared" si="133"/>
        <v>0</v>
      </c>
      <c r="AB102" s="243"/>
      <c r="AC102" s="482">
        <f t="shared" si="134"/>
        <v>0</v>
      </c>
      <c r="AD102" s="482">
        <f t="shared" si="135"/>
        <v>0</v>
      </c>
      <c r="AE102" s="482">
        <f t="shared" si="136"/>
        <v>0</v>
      </c>
      <c r="AF102" s="482">
        <f t="shared" si="137"/>
        <v>133</v>
      </c>
      <c r="AG102" s="482">
        <f t="shared" si="138"/>
        <v>133</v>
      </c>
      <c r="AH102" s="482">
        <f t="shared" si="139"/>
        <v>133</v>
      </c>
      <c r="AI102" s="482">
        <f t="shared" si="140"/>
        <v>133</v>
      </c>
      <c r="AJ102" s="482">
        <f t="shared" si="141"/>
        <v>0</v>
      </c>
      <c r="AK102" s="482">
        <f t="shared" si="142"/>
        <v>0</v>
      </c>
      <c r="AL102" s="482">
        <f t="shared" si="143"/>
        <v>0</v>
      </c>
      <c r="AM102" s="482">
        <f t="shared" si="144"/>
        <v>0</v>
      </c>
      <c r="AN102" s="482">
        <f t="shared" si="145"/>
        <v>133</v>
      </c>
      <c r="AO102" s="482">
        <f t="shared" si="146"/>
        <v>133</v>
      </c>
      <c r="AP102" s="482">
        <f t="shared" si="147"/>
        <v>133</v>
      </c>
      <c r="AQ102" s="482">
        <f t="shared" si="148"/>
        <v>133</v>
      </c>
      <c r="AR102" s="482">
        <f t="shared" si="149"/>
        <v>0</v>
      </c>
      <c r="AS102" s="482">
        <f t="shared" si="150"/>
        <v>0</v>
      </c>
      <c r="AT102" s="482">
        <f t="shared" si="151"/>
        <v>0</v>
      </c>
      <c r="AU102" s="482">
        <f t="shared" si="152"/>
        <v>0</v>
      </c>
      <c r="AV102" s="482">
        <f t="shared" si="153"/>
        <v>133</v>
      </c>
      <c r="AW102" s="482">
        <f t="shared" si="154"/>
        <v>133</v>
      </c>
      <c r="AX102" s="482">
        <f t="shared" si="155"/>
        <v>133</v>
      </c>
      <c r="AY102" s="482">
        <f t="shared" si="156"/>
        <v>133</v>
      </c>
      <c r="AZ102" s="482">
        <f t="shared" si="157"/>
        <v>0</v>
      </c>
      <c r="BA102" s="482">
        <f t="shared" si="158"/>
        <v>0</v>
      </c>
      <c r="BB102" s="482">
        <f t="shared" si="159"/>
        <v>0</v>
      </c>
      <c r="BC102" s="482">
        <f t="shared" si="160"/>
        <v>0</v>
      </c>
      <c r="BD102" s="482">
        <f t="shared" si="161"/>
        <v>133</v>
      </c>
      <c r="BE102" s="482">
        <f t="shared" si="162"/>
        <v>133</v>
      </c>
      <c r="BF102" s="482">
        <f t="shared" si="163"/>
        <v>133</v>
      </c>
      <c r="BG102" s="482">
        <f t="shared" si="164"/>
        <v>133</v>
      </c>
    </row>
    <row r="103" spans="1:81">
      <c r="A103" s="213" t="s">
        <v>5316</v>
      </c>
      <c r="B103" s="231">
        <v>609912762</v>
      </c>
      <c r="C103" s="210" t="s">
        <v>58</v>
      </c>
      <c r="D103" s="210">
        <v>300</v>
      </c>
      <c r="F103" s="239" t="str" cm="1">
        <f t="array" aca="1" ref="F103" ca="1">MID(met2utc(PEPSSI_Commanding[[#This Row],[MET]]),3,15)</f>
        <v>25-138/22:20:46</v>
      </c>
      <c r="G103" s="213" t="str">
        <f t="shared" si="115"/>
        <v>N3+300</v>
      </c>
      <c r="H103" s="214">
        <f t="shared" si="116"/>
        <v>609912716</v>
      </c>
      <c r="I103" s="214">
        <f t="shared" si="117"/>
        <v>609914566</v>
      </c>
      <c r="J103" s="213">
        <f t="shared" si="118"/>
        <v>3</v>
      </c>
      <c r="K103" s="213">
        <f t="shared" si="119"/>
        <v>7</v>
      </c>
      <c r="M103" s="210" t="str">
        <f t="shared" si="120"/>
        <v/>
      </c>
      <c r="N103" s="210">
        <f t="shared" si="121"/>
        <v>10</v>
      </c>
      <c r="O103" s="210">
        <f t="shared" si="122"/>
        <v>300</v>
      </c>
      <c r="P103" s="210" t="str">
        <f t="shared" si="123"/>
        <v/>
      </c>
      <c r="Q103" s="210" t="str">
        <f t="shared" si="124"/>
        <v/>
      </c>
      <c r="R103" s="210" t="str">
        <f t="shared" si="125"/>
        <v/>
      </c>
      <c r="S103" s="210" t="str">
        <f t="shared" si="126"/>
        <v/>
      </c>
      <c r="U103" s="482">
        <f t="shared" si="127"/>
        <v>0</v>
      </c>
      <c r="V103" s="482">
        <f t="shared" si="128"/>
        <v>0</v>
      </c>
      <c r="W103" s="482">
        <f t="shared" si="129"/>
        <v>0</v>
      </c>
      <c r="X103" s="482">
        <f t="shared" si="130"/>
        <v>0</v>
      </c>
      <c r="Y103" s="482">
        <f t="shared" si="131"/>
        <v>133</v>
      </c>
      <c r="Z103" s="482">
        <f t="shared" si="132"/>
        <v>133</v>
      </c>
      <c r="AA103" s="482">
        <f t="shared" si="133"/>
        <v>66.36</v>
      </c>
      <c r="AB103" s="243"/>
      <c r="AC103" s="482">
        <f t="shared" si="134"/>
        <v>0</v>
      </c>
      <c r="AD103" s="482">
        <f t="shared" si="135"/>
        <v>66.36</v>
      </c>
      <c r="AE103" s="482">
        <f t="shared" si="136"/>
        <v>66.36</v>
      </c>
      <c r="AF103" s="482">
        <f t="shared" si="137"/>
        <v>133</v>
      </c>
      <c r="AG103" s="482">
        <f t="shared" si="138"/>
        <v>133</v>
      </c>
      <c r="AH103" s="482">
        <f t="shared" si="139"/>
        <v>199.36</v>
      </c>
      <c r="AI103" s="482">
        <f t="shared" si="140"/>
        <v>199.36</v>
      </c>
      <c r="AJ103" s="482">
        <f t="shared" si="141"/>
        <v>0</v>
      </c>
      <c r="AK103" s="482">
        <f t="shared" si="142"/>
        <v>0</v>
      </c>
      <c r="AL103" s="482">
        <f t="shared" si="143"/>
        <v>66.36</v>
      </c>
      <c r="AM103" s="482">
        <f t="shared" si="144"/>
        <v>66.36</v>
      </c>
      <c r="AN103" s="482">
        <f t="shared" si="145"/>
        <v>133</v>
      </c>
      <c r="AO103" s="482">
        <f t="shared" si="146"/>
        <v>133</v>
      </c>
      <c r="AP103" s="482">
        <f t="shared" si="147"/>
        <v>199.36</v>
      </c>
      <c r="AQ103" s="482">
        <f t="shared" si="148"/>
        <v>199.36</v>
      </c>
      <c r="AR103" s="482">
        <f t="shared" si="149"/>
        <v>0</v>
      </c>
      <c r="AS103" s="482">
        <f t="shared" si="150"/>
        <v>0</v>
      </c>
      <c r="AT103" s="482">
        <f t="shared" si="151"/>
        <v>66.36</v>
      </c>
      <c r="AU103" s="482">
        <f t="shared" si="152"/>
        <v>66.36</v>
      </c>
      <c r="AV103" s="482">
        <f t="shared" si="153"/>
        <v>133</v>
      </c>
      <c r="AW103" s="482">
        <f t="shared" si="154"/>
        <v>133</v>
      </c>
      <c r="AX103" s="482">
        <f t="shared" si="155"/>
        <v>199.36</v>
      </c>
      <c r="AY103" s="482">
        <f t="shared" si="156"/>
        <v>199.36</v>
      </c>
      <c r="AZ103" s="482">
        <f t="shared" si="157"/>
        <v>0</v>
      </c>
      <c r="BA103" s="482">
        <f t="shared" si="158"/>
        <v>0</v>
      </c>
      <c r="BB103" s="482">
        <f t="shared" si="159"/>
        <v>66.36</v>
      </c>
      <c r="BC103" s="482">
        <f t="shared" si="160"/>
        <v>66.36</v>
      </c>
      <c r="BD103" s="482">
        <f t="shared" si="161"/>
        <v>133</v>
      </c>
      <c r="BE103" s="482">
        <f t="shared" si="162"/>
        <v>133</v>
      </c>
      <c r="BF103" s="482">
        <f t="shared" si="163"/>
        <v>199.36</v>
      </c>
      <c r="BG103" s="482">
        <f t="shared" si="164"/>
        <v>199.36</v>
      </c>
    </row>
    <row r="104" spans="1:81">
      <c r="A104" s="213" t="s">
        <v>5316</v>
      </c>
      <c r="B104" s="231">
        <v>609912763</v>
      </c>
      <c r="C104" s="210" t="s">
        <v>1</v>
      </c>
      <c r="D104" s="210">
        <v>10</v>
      </c>
      <c r="F104" s="239" t="str" cm="1">
        <f t="array" aca="1" ref="F104" ca="1">MID(met2utc(PEPSSI_Commanding[[#This Row],[MET]]),3,15)</f>
        <v>25-138/22:20:47</v>
      </c>
      <c r="G104" s="213" t="str">
        <f t="shared" si="115"/>
        <v>N1+10</v>
      </c>
      <c r="H104" s="214">
        <f t="shared" si="116"/>
        <v>609912716</v>
      </c>
      <c r="I104" s="214">
        <f t="shared" si="117"/>
        <v>609914566</v>
      </c>
      <c r="J104" s="213">
        <f t="shared" si="118"/>
        <v>4</v>
      </c>
      <c r="K104" s="213">
        <f t="shared" si="119"/>
        <v>6</v>
      </c>
      <c r="M104" s="210">
        <f t="shared" si="120"/>
        <v>10</v>
      </c>
      <c r="N104" s="210">
        <f t="shared" si="121"/>
        <v>10</v>
      </c>
      <c r="O104" s="210">
        <f t="shared" si="122"/>
        <v>300</v>
      </c>
      <c r="P104" s="210" t="str">
        <f t="shared" si="123"/>
        <v/>
      </c>
      <c r="Q104" s="210" t="str">
        <f t="shared" si="124"/>
        <v/>
      </c>
      <c r="R104" s="210" t="str">
        <f t="shared" si="125"/>
        <v/>
      </c>
      <c r="S104" s="210" t="str">
        <f t="shared" si="126"/>
        <v/>
      </c>
      <c r="U104" s="482">
        <f t="shared" si="127"/>
        <v>0</v>
      </c>
      <c r="V104" s="482">
        <f t="shared" si="128"/>
        <v>0</v>
      </c>
      <c r="W104" s="482">
        <f t="shared" si="129"/>
        <v>0</v>
      </c>
      <c r="X104" s="482">
        <f t="shared" si="130"/>
        <v>198.8</v>
      </c>
      <c r="Y104" s="482">
        <f t="shared" si="131"/>
        <v>133</v>
      </c>
      <c r="Z104" s="482">
        <f t="shared" si="132"/>
        <v>133</v>
      </c>
      <c r="AA104" s="482">
        <f t="shared" si="133"/>
        <v>66.36</v>
      </c>
      <c r="AB104" s="243"/>
      <c r="AC104" s="482">
        <f t="shared" si="134"/>
        <v>198.8</v>
      </c>
      <c r="AD104" s="482">
        <f t="shared" si="135"/>
        <v>66.36</v>
      </c>
      <c r="AE104" s="482">
        <f t="shared" si="136"/>
        <v>265.16000000000003</v>
      </c>
      <c r="AF104" s="482">
        <f t="shared" si="137"/>
        <v>133</v>
      </c>
      <c r="AG104" s="482">
        <f t="shared" si="138"/>
        <v>331.8</v>
      </c>
      <c r="AH104" s="482">
        <f t="shared" si="139"/>
        <v>199.36</v>
      </c>
      <c r="AI104" s="482">
        <f t="shared" si="140"/>
        <v>398.16</v>
      </c>
      <c r="AJ104" s="482">
        <f t="shared" si="141"/>
        <v>0</v>
      </c>
      <c r="AK104" s="482">
        <f t="shared" si="142"/>
        <v>198.8</v>
      </c>
      <c r="AL104" s="482">
        <f t="shared" si="143"/>
        <v>66.36</v>
      </c>
      <c r="AM104" s="482">
        <f t="shared" si="144"/>
        <v>265.16000000000003</v>
      </c>
      <c r="AN104" s="482">
        <f t="shared" si="145"/>
        <v>133</v>
      </c>
      <c r="AO104" s="482">
        <f t="shared" si="146"/>
        <v>331.8</v>
      </c>
      <c r="AP104" s="482">
        <f t="shared" si="147"/>
        <v>199.36</v>
      </c>
      <c r="AQ104" s="482">
        <f t="shared" si="148"/>
        <v>398.16</v>
      </c>
      <c r="AR104" s="482">
        <f t="shared" si="149"/>
        <v>0</v>
      </c>
      <c r="AS104" s="482">
        <f t="shared" si="150"/>
        <v>198.8</v>
      </c>
      <c r="AT104" s="482">
        <f t="shared" si="151"/>
        <v>66.36</v>
      </c>
      <c r="AU104" s="482">
        <f t="shared" si="152"/>
        <v>265.16000000000003</v>
      </c>
      <c r="AV104" s="482">
        <f t="shared" si="153"/>
        <v>133</v>
      </c>
      <c r="AW104" s="482">
        <f t="shared" si="154"/>
        <v>331.8</v>
      </c>
      <c r="AX104" s="482">
        <f t="shared" si="155"/>
        <v>199.36</v>
      </c>
      <c r="AY104" s="482">
        <f t="shared" si="156"/>
        <v>398.16</v>
      </c>
      <c r="AZ104" s="482">
        <f t="shared" si="157"/>
        <v>0</v>
      </c>
      <c r="BA104" s="482">
        <f t="shared" si="158"/>
        <v>198.8</v>
      </c>
      <c r="BB104" s="482">
        <f t="shared" si="159"/>
        <v>66.36</v>
      </c>
      <c r="BC104" s="482">
        <f t="shared" si="160"/>
        <v>265.16000000000003</v>
      </c>
      <c r="BD104" s="482">
        <f t="shared" si="161"/>
        <v>133</v>
      </c>
      <c r="BE104" s="482">
        <f t="shared" si="162"/>
        <v>331.8</v>
      </c>
      <c r="BF104" s="482">
        <f t="shared" si="163"/>
        <v>199.36</v>
      </c>
      <c r="BG104" s="482">
        <f t="shared" si="164"/>
        <v>398.16</v>
      </c>
    </row>
    <row r="105" spans="1:81">
      <c r="A105" s="213" t="s">
        <v>5317</v>
      </c>
      <c r="B105" s="231">
        <v>609912764</v>
      </c>
      <c r="C105" s="210" t="s">
        <v>5284</v>
      </c>
      <c r="D105" s="210">
        <v>1</v>
      </c>
      <c r="F105" s="239" t="str" cm="1">
        <f t="array" aca="1" ref="F105" ca="1">MID(met2utc(PEPSSI_Commanding[[#This Row],[MET]]),3,15)</f>
        <v>25-138/22:20:48</v>
      </c>
      <c r="G105" s="213" t="str">
        <f t="shared" si="115"/>
        <v>STAT+1</v>
      </c>
      <c r="H105" s="214">
        <f t="shared" si="116"/>
        <v>609912716</v>
      </c>
      <c r="I105" s="214">
        <f t="shared" si="117"/>
        <v>609914566</v>
      </c>
      <c r="J105" s="213">
        <f t="shared" si="118"/>
        <v>5</v>
      </c>
      <c r="K105" s="213">
        <f t="shared" si="119"/>
        <v>5</v>
      </c>
      <c r="M105" s="210">
        <f t="shared" si="120"/>
        <v>10</v>
      </c>
      <c r="N105" s="210">
        <f t="shared" si="121"/>
        <v>10</v>
      </c>
      <c r="O105" s="210">
        <f t="shared" si="122"/>
        <v>300</v>
      </c>
      <c r="P105" s="210">
        <f t="shared" si="123"/>
        <v>1</v>
      </c>
      <c r="Q105" s="210" t="str">
        <f t="shared" si="124"/>
        <v/>
      </c>
      <c r="R105" s="210" t="str">
        <f t="shared" si="125"/>
        <v/>
      </c>
      <c r="S105" s="210" t="str">
        <f t="shared" si="126"/>
        <v/>
      </c>
      <c r="U105" s="482">
        <f t="shared" si="127"/>
        <v>0</v>
      </c>
      <c r="V105" s="482">
        <f t="shared" si="128"/>
        <v>0</v>
      </c>
      <c r="W105" s="482">
        <f t="shared" si="129"/>
        <v>512</v>
      </c>
      <c r="X105" s="482">
        <f t="shared" si="130"/>
        <v>198.8</v>
      </c>
      <c r="Y105" s="482">
        <f t="shared" si="131"/>
        <v>133</v>
      </c>
      <c r="Z105" s="482">
        <f t="shared" si="132"/>
        <v>133</v>
      </c>
      <c r="AA105" s="482">
        <f t="shared" si="133"/>
        <v>66.36</v>
      </c>
      <c r="AB105" s="243"/>
      <c r="AC105" s="482">
        <f t="shared" si="134"/>
        <v>198.8</v>
      </c>
      <c r="AD105" s="482">
        <f t="shared" si="135"/>
        <v>66.36</v>
      </c>
      <c r="AE105" s="482">
        <f t="shared" si="136"/>
        <v>265.16000000000003</v>
      </c>
      <c r="AF105" s="482">
        <f t="shared" si="137"/>
        <v>133</v>
      </c>
      <c r="AG105" s="482">
        <f t="shared" si="138"/>
        <v>331.8</v>
      </c>
      <c r="AH105" s="482">
        <f t="shared" si="139"/>
        <v>199.36</v>
      </c>
      <c r="AI105" s="482">
        <f t="shared" si="140"/>
        <v>398.16</v>
      </c>
      <c r="AJ105" s="482">
        <f t="shared" si="141"/>
        <v>0</v>
      </c>
      <c r="AK105" s="482">
        <f t="shared" si="142"/>
        <v>198.8</v>
      </c>
      <c r="AL105" s="482">
        <f t="shared" si="143"/>
        <v>66.36</v>
      </c>
      <c r="AM105" s="482">
        <f t="shared" si="144"/>
        <v>265.16000000000003</v>
      </c>
      <c r="AN105" s="482">
        <f t="shared" si="145"/>
        <v>133</v>
      </c>
      <c r="AO105" s="482">
        <f t="shared" si="146"/>
        <v>331.8</v>
      </c>
      <c r="AP105" s="482">
        <f t="shared" si="147"/>
        <v>199.36</v>
      </c>
      <c r="AQ105" s="482">
        <f t="shared" si="148"/>
        <v>398.16</v>
      </c>
      <c r="AR105" s="482">
        <f t="shared" si="149"/>
        <v>512</v>
      </c>
      <c r="AS105" s="482">
        <f t="shared" si="150"/>
        <v>710.8</v>
      </c>
      <c r="AT105" s="482">
        <f t="shared" si="151"/>
        <v>578.36</v>
      </c>
      <c r="AU105" s="482">
        <f t="shared" si="152"/>
        <v>777.16000000000008</v>
      </c>
      <c r="AV105" s="482">
        <f t="shared" si="153"/>
        <v>645</v>
      </c>
      <c r="AW105" s="482">
        <f t="shared" si="154"/>
        <v>843.8</v>
      </c>
      <c r="AX105" s="482">
        <f t="shared" si="155"/>
        <v>711.36</v>
      </c>
      <c r="AY105" s="482">
        <f t="shared" si="156"/>
        <v>910.16000000000008</v>
      </c>
      <c r="AZ105" s="482">
        <f t="shared" si="157"/>
        <v>512</v>
      </c>
      <c r="BA105" s="482">
        <f t="shared" si="158"/>
        <v>710.8</v>
      </c>
      <c r="BB105" s="482">
        <f t="shared" si="159"/>
        <v>578.36</v>
      </c>
      <c r="BC105" s="482">
        <f t="shared" si="160"/>
        <v>777.16000000000008</v>
      </c>
      <c r="BD105" s="482">
        <f t="shared" si="161"/>
        <v>645</v>
      </c>
      <c r="BE105" s="482">
        <f t="shared" si="162"/>
        <v>843.8</v>
      </c>
      <c r="BF105" s="482">
        <f t="shared" si="163"/>
        <v>711.36</v>
      </c>
      <c r="BG105" s="482">
        <f t="shared" si="164"/>
        <v>910.16000000000008</v>
      </c>
    </row>
    <row r="106" spans="1:81">
      <c r="A106" s="213" t="s">
        <v>5316</v>
      </c>
      <c r="B106" s="231">
        <v>609914247</v>
      </c>
      <c r="C106" s="210" t="s">
        <v>61</v>
      </c>
      <c r="D106" s="210">
        <v>40</v>
      </c>
      <c r="F106" s="239" t="str" cm="1">
        <f t="array" aca="1" ref="F106" ca="1">MID(met2utc(PEPSSI_Commanding[[#This Row],[MET]]),3,15)</f>
        <v>25-138/22:45:31</v>
      </c>
      <c r="G106" s="213" t="str">
        <f t="shared" si="115"/>
        <v>N2+40</v>
      </c>
      <c r="H106" s="214">
        <f t="shared" si="116"/>
        <v>609912716</v>
      </c>
      <c r="I106" s="214">
        <f t="shared" si="117"/>
        <v>609914566</v>
      </c>
      <c r="J106" s="213">
        <f t="shared" si="118"/>
        <v>6</v>
      </c>
      <c r="K106" s="213">
        <f t="shared" si="119"/>
        <v>4</v>
      </c>
      <c r="M106" s="210">
        <f t="shared" si="120"/>
        <v>10</v>
      </c>
      <c r="N106" s="210">
        <f t="shared" si="121"/>
        <v>40</v>
      </c>
      <c r="O106" s="210">
        <f t="shared" si="122"/>
        <v>300</v>
      </c>
      <c r="P106" s="210">
        <f t="shared" si="123"/>
        <v>1</v>
      </c>
      <c r="Q106" s="210" t="str">
        <f t="shared" si="124"/>
        <v/>
      </c>
      <c r="R106" s="210" t="str">
        <f t="shared" si="125"/>
        <v/>
      </c>
      <c r="S106" s="210" t="str">
        <f t="shared" si="126"/>
        <v/>
      </c>
      <c r="U106" s="482">
        <f t="shared" si="127"/>
        <v>0</v>
      </c>
      <c r="V106" s="482">
        <f t="shared" si="128"/>
        <v>0</v>
      </c>
      <c r="W106" s="482">
        <f t="shared" si="129"/>
        <v>512</v>
      </c>
      <c r="X106" s="482">
        <f t="shared" si="130"/>
        <v>198.8</v>
      </c>
      <c r="Y106" s="482">
        <f t="shared" si="131"/>
        <v>33.25</v>
      </c>
      <c r="Z106" s="482">
        <f t="shared" si="132"/>
        <v>33.25</v>
      </c>
      <c r="AA106" s="482">
        <f t="shared" si="133"/>
        <v>66.36</v>
      </c>
      <c r="AB106" s="243"/>
      <c r="AC106" s="482">
        <f t="shared" si="134"/>
        <v>198.8</v>
      </c>
      <c r="AD106" s="482">
        <f t="shared" si="135"/>
        <v>66.36</v>
      </c>
      <c r="AE106" s="482">
        <f t="shared" si="136"/>
        <v>265.16000000000003</v>
      </c>
      <c r="AF106" s="482">
        <f t="shared" si="137"/>
        <v>33.25</v>
      </c>
      <c r="AG106" s="482">
        <f t="shared" si="138"/>
        <v>232.05</v>
      </c>
      <c r="AH106" s="482">
        <f t="shared" si="139"/>
        <v>99.61</v>
      </c>
      <c r="AI106" s="482">
        <f t="shared" si="140"/>
        <v>298.41000000000003</v>
      </c>
      <c r="AJ106" s="482">
        <f t="shared" si="141"/>
        <v>0</v>
      </c>
      <c r="AK106" s="482">
        <f t="shared" si="142"/>
        <v>198.8</v>
      </c>
      <c r="AL106" s="482">
        <f t="shared" si="143"/>
        <v>66.36</v>
      </c>
      <c r="AM106" s="482">
        <f t="shared" si="144"/>
        <v>265.16000000000003</v>
      </c>
      <c r="AN106" s="482">
        <f t="shared" si="145"/>
        <v>33.25</v>
      </c>
      <c r="AO106" s="482">
        <f t="shared" si="146"/>
        <v>232.05</v>
      </c>
      <c r="AP106" s="482">
        <f t="shared" si="147"/>
        <v>99.61</v>
      </c>
      <c r="AQ106" s="482">
        <f t="shared" si="148"/>
        <v>298.41000000000003</v>
      </c>
      <c r="AR106" s="482">
        <f t="shared" si="149"/>
        <v>512</v>
      </c>
      <c r="AS106" s="482">
        <f t="shared" si="150"/>
        <v>710.8</v>
      </c>
      <c r="AT106" s="482">
        <f t="shared" si="151"/>
        <v>578.36</v>
      </c>
      <c r="AU106" s="482">
        <f t="shared" si="152"/>
        <v>777.16000000000008</v>
      </c>
      <c r="AV106" s="482">
        <f t="shared" si="153"/>
        <v>545.25</v>
      </c>
      <c r="AW106" s="482">
        <f t="shared" si="154"/>
        <v>744.05</v>
      </c>
      <c r="AX106" s="482">
        <f t="shared" si="155"/>
        <v>611.61</v>
      </c>
      <c r="AY106" s="482">
        <f t="shared" si="156"/>
        <v>810.41000000000008</v>
      </c>
      <c r="AZ106" s="482">
        <f t="shared" si="157"/>
        <v>512</v>
      </c>
      <c r="BA106" s="482">
        <f t="shared" si="158"/>
        <v>710.8</v>
      </c>
      <c r="BB106" s="482">
        <f t="shared" si="159"/>
        <v>578.36</v>
      </c>
      <c r="BC106" s="482">
        <f t="shared" si="160"/>
        <v>777.16000000000008</v>
      </c>
      <c r="BD106" s="482">
        <f t="shared" si="161"/>
        <v>545.25</v>
      </c>
      <c r="BE106" s="482">
        <f t="shared" si="162"/>
        <v>744.05</v>
      </c>
      <c r="BF106" s="482">
        <f t="shared" si="163"/>
        <v>611.61</v>
      </c>
      <c r="BG106" s="482">
        <f t="shared" si="164"/>
        <v>810.41000000000008</v>
      </c>
    </row>
    <row r="107" spans="1:81">
      <c r="A107" s="213" t="s">
        <v>5316</v>
      </c>
      <c r="B107" s="231">
        <v>609914248</v>
      </c>
      <c r="C107" s="210" t="s">
        <v>58</v>
      </c>
      <c r="D107" s="210">
        <v>7200</v>
      </c>
      <c r="F107" s="239" t="str" cm="1">
        <f t="array" aca="1" ref="F107" ca="1">MID(met2utc(PEPSSI_Commanding[[#This Row],[MET]]),3,15)</f>
        <v>25-138/22:45:32</v>
      </c>
      <c r="G107" s="213" t="str">
        <f t="shared" si="115"/>
        <v>N3+7200</v>
      </c>
      <c r="H107" s="214">
        <f t="shared" si="116"/>
        <v>609912716</v>
      </c>
      <c r="I107" s="214">
        <f t="shared" si="117"/>
        <v>609914566</v>
      </c>
      <c r="J107" s="213">
        <f t="shared" si="118"/>
        <v>7</v>
      </c>
      <c r="K107" s="213">
        <f t="shared" si="119"/>
        <v>3</v>
      </c>
      <c r="M107" s="210">
        <f t="shared" si="120"/>
        <v>10</v>
      </c>
      <c r="N107" s="210">
        <f t="shared" si="121"/>
        <v>40</v>
      </c>
      <c r="O107" s="210">
        <f t="shared" si="122"/>
        <v>7200</v>
      </c>
      <c r="P107" s="210">
        <f t="shared" si="123"/>
        <v>1</v>
      </c>
      <c r="Q107" s="210" t="str">
        <f t="shared" si="124"/>
        <v/>
      </c>
      <c r="R107" s="210" t="str">
        <f t="shared" si="125"/>
        <v/>
      </c>
      <c r="S107" s="210" t="str">
        <f t="shared" si="126"/>
        <v/>
      </c>
      <c r="U107" s="482">
        <f t="shared" si="127"/>
        <v>0</v>
      </c>
      <c r="V107" s="482">
        <f t="shared" si="128"/>
        <v>0</v>
      </c>
      <c r="W107" s="482">
        <f t="shared" si="129"/>
        <v>512</v>
      </c>
      <c r="X107" s="482">
        <f t="shared" si="130"/>
        <v>198.8</v>
      </c>
      <c r="Y107" s="482">
        <f t="shared" si="131"/>
        <v>33.25</v>
      </c>
      <c r="Z107" s="482">
        <f t="shared" si="132"/>
        <v>33.25</v>
      </c>
      <c r="AA107" s="482">
        <f t="shared" si="133"/>
        <v>2.7650000000000001</v>
      </c>
      <c r="AB107" s="243"/>
      <c r="AC107" s="482">
        <f t="shared" si="134"/>
        <v>198.8</v>
      </c>
      <c r="AD107" s="482">
        <f t="shared" si="135"/>
        <v>2.7650000000000001</v>
      </c>
      <c r="AE107" s="482">
        <f t="shared" si="136"/>
        <v>201.565</v>
      </c>
      <c r="AF107" s="482">
        <f t="shared" si="137"/>
        <v>33.25</v>
      </c>
      <c r="AG107" s="482">
        <f t="shared" si="138"/>
        <v>232.05</v>
      </c>
      <c r="AH107" s="482">
        <f t="shared" si="139"/>
        <v>36.015000000000001</v>
      </c>
      <c r="AI107" s="482">
        <f t="shared" si="140"/>
        <v>234.815</v>
      </c>
      <c r="AJ107" s="482">
        <f t="shared" si="141"/>
        <v>0</v>
      </c>
      <c r="AK107" s="482">
        <f t="shared" si="142"/>
        <v>198.8</v>
      </c>
      <c r="AL107" s="482">
        <f t="shared" si="143"/>
        <v>2.7650000000000001</v>
      </c>
      <c r="AM107" s="482">
        <f t="shared" si="144"/>
        <v>201.565</v>
      </c>
      <c r="AN107" s="482">
        <f t="shared" si="145"/>
        <v>33.25</v>
      </c>
      <c r="AO107" s="482">
        <f t="shared" si="146"/>
        <v>232.05</v>
      </c>
      <c r="AP107" s="482">
        <f t="shared" si="147"/>
        <v>36.015000000000001</v>
      </c>
      <c r="AQ107" s="482">
        <f t="shared" si="148"/>
        <v>234.815</v>
      </c>
      <c r="AR107" s="482">
        <f t="shared" si="149"/>
        <v>512</v>
      </c>
      <c r="AS107" s="482">
        <f t="shared" si="150"/>
        <v>710.8</v>
      </c>
      <c r="AT107" s="482">
        <f t="shared" si="151"/>
        <v>514.76499999999999</v>
      </c>
      <c r="AU107" s="482">
        <f t="shared" si="152"/>
        <v>713.56500000000005</v>
      </c>
      <c r="AV107" s="482">
        <f t="shared" si="153"/>
        <v>545.25</v>
      </c>
      <c r="AW107" s="482">
        <f t="shared" si="154"/>
        <v>744.05</v>
      </c>
      <c r="AX107" s="482">
        <f t="shared" si="155"/>
        <v>548.01499999999999</v>
      </c>
      <c r="AY107" s="482">
        <f t="shared" si="156"/>
        <v>746.81500000000005</v>
      </c>
      <c r="AZ107" s="482">
        <f t="shared" si="157"/>
        <v>512</v>
      </c>
      <c r="BA107" s="482">
        <f t="shared" si="158"/>
        <v>710.8</v>
      </c>
      <c r="BB107" s="482">
        <f t="shared" si="159"/>
        <v>514.76499999999999</v>
      </c>
      <c r="BC107" s="482">
        <f t="shared" si="160"/>
        <v>713.56500000000005</v>
      </c>
      <c r="BD107" s="482">
        <f t="shared" si="161"/>
        <v>545.25</v>
      </c>
      <c r="BE107" s="482">
        <f t="shared" si="162"/>
        <v>744.05</v>
      </c>
      <c r="BF107" s="482">
        <f t="shared" si="163"/>
        <v>548.01499999999999</v>
      </c>
      <c r="BG107" s="482">
        <f t="shared" si="164"/>
        <v>746.81500000000005</v>
      </c>
    </row>
    <row r="108" spans="1:81">
      <c r="A108" s="213" t="s">
        <v>5316</v>
      </c>
      <c r="B108" s="231">
        <v>609914249</v>
      </c>
      <c r="C108" s="210" t="s">
        <v>1</v>
      </c>
      <c r="D108" s="210">
        <v>3600</v>
      </c>
      <c r="F108" s="239" t="str" cm="1">
        <f t="array" aca="1" ref="F108" ca="1">MID(met2utc(PEPSSI_Commanding[[#This Row],[MET]]),3,15)</f>
        <v>25-138/22:45:33</v>
      </c>
      <c r="G108" s="213" t="str">
        <f t="shared" si="115"/>
        <v>N1+3600</v>
      </c>
      <c r="H108" s="214">
        <f t="shared" si="116"/>
        <v>609912716</v>
      </c>
      <c r="I108" s="214">
        <f t="shared" si="117"/>
        <v>609914566</v>
      </c>
      <c r="J108" s="213">
        <f t="shared" si="118"/>
        <v>8</v>
      </c>
      <c r="K108" s="213">
        <f t="shared" si="119"/>
        <v>2</v>
      </c>
      <c r="M108" s="210">
        <f t="shared" si="120"/>
        <v>3600</v>
      </c>
      <c r="N108" s="210">
        <f t="shared" si="121"/>
        <v>40</v>
      </c>
      <c r="O108" s="210">
        <f t="shared" si="122"/>
        <v>7200</v>
      </c>
      <c r="P108" s="210">
        <f t="shared" si="123"/>
        <v>1</v>
      </c>
      <c r="Q108" s="210" t="str">
        <f t="shared" si="124"/>
        <v/>
      </c>
      <c r="R108" s="210" t="str">
        <f t="shared" si="125"/>
        <v/>
      </c>
      <c r="S108" s="210" t="str">
        <f t="shared" si="126"/>
        <v/>
      </c>
      <c r="U108" s="482">
        <f t="shared" si="127"/>
        <v>0</v>
      </c>
      <c r="V108" s="482">
        <f t="shared" si="128"/>
        <v>0</v>
      </c>
      <c r="W108" s="482">
        <f t="shared" si="129"/>
        <v>512</v>
      </c>
      <c r="X108" s="482">
        <f t="shared" si="130"/>
        <v>0.55222222222222217</v>
      </c>
      <c r="Y108" s="482">
        <f t="shared" si="131"/>
        <v>33.25</v>
      </c>
      <c r="Z108" s="482">
        <f t="shared" si="132"/>
        <v>33.25</v>
      </c>
      <c r="AA108" s="482">
        <f t="shared" si="133"/>
        <v>2.7650000000000001</v>
      </c>
      <c r="AB108" s="243"/>
      <c r="AC108" s="482">
        <f t="shared" si="134"/>
        <v>0.55222222222222217</v>
      </c>
      <c r="AD108" s="482">
        <f t="shared" si="135"/>
        <v>2.7650000000000001</v>
      </c>
      <c r="AE108" s="482">
        <f t="shared" si="136"/>
        <v>3.3172222222222221</v>
      </c>
      <c r="AF108" s="482">
        <f t="shared" si="137"/>
        <v>33.25</v>
      </c>
      <c r="AG108" s="482">
        <f t="shared" si="138"/>
        <v>33.80222222222222</v>
      </c>
      <c r="AH108" s="482">
        <f t="shared" si="139"/>
        <v>36.015000000000001</v>
      </c>
      <c r="AI108" s="482">
        <f t="shared" si="140"/>
        <v>36.56722222222222</v>
      </c>
      <c r="AJ108" s="482">
        <f t="shared" si="141"/>
        <v>0</v>
      </c>
      <c r="AK108" s="482">
        <f t="shared" si="142"/>
        <v>0.55222222222222217</v>
      </c>
      <c r="AL108" s="482">
        <f t="shared" si="143"/>
        <v>2.7650000000000001</v>
      </c>
      <c r="AM108" s="482">
        <f t="shared" si="144"/>
        <v>3.3172222222222221</v>
      </c>
      <c r="AN108" s="482">
        <f t="shared" si="145"/>
        <v>33.25</v>
      </c>
      <c r="AO108" s="482">
        <f t="shared" si="146"/>
        <v>33.80222222222222</v>
      </c>
      <c r="AP108" s="482">
        <f t="shared" si="147"/>
        <v>36.015000000000001</v>
      </c>
      <c r="AQ108" s="482">
        <f t="shared" si="148"/>
        <v>36.56722222222222</v>
      </c>
      <c r="AR108" s="482">
        <f t="shared" si="149"/>
        <v>512</v>
      </c>
      <c r="AS108" s="482">
        <f t="shared" si="150"/>
        <v>512.55222222222221</v>
      </c>
      <c r="AT108" s="482">
        <f t="shared" si="151"/>
        <v>514.76499999999999</v>
      </c>
      <c r="AU108" s="482">
        <f t="shared" si="152"/>
        <v>515.3172222222222</v>
      </c>
      <c r="AV108" s="482">
        <f t="shared" si="153"/>
        <v>545.25</v>
      </c>
      <c r="AW108" s="482">
        <f t="shared" si="154"/>
        <v>545.80222222222221</v>
      </c>
      <c r="AX108" s="482">
        <f t="shared" si="155"/>
        <v>548.01499999999999</v>
      </c>
      <c r="AY108" s="482">
        <f t="shared" si="156"/>
        <v>548.5672222222222</v>
      </c>
      <c r="AZ108" s="482">
        <f t="shared" si="157"/>
        <v>512</v>
      </c>
      <c r="BA108" s="482">
        <f t="shared" si="158"/>
        <v>512.55222222222221</v>
      </c>
      <c r="BB108" s="482">
        <f t="shared" si="159"/>
        <v>514.76499999999999</v>
      </c>
      <c r="BC108" s="482">
        <f t="shared" si="160"/>
        <v>515.3172222222222</v>
      </c>
      <c r="BD108" s="482">
        <f t="shared" si="161"/>
        <v>545.25</v>
      </c>
      <c r="BE108" s="482">
        <f t="shared" si="162"/>
        <v>545.80222222222221</v>
      </c>
      <c r="BF108" s="482">
        <f t="shared" si="163"/>
        <v>548.01499999999999</v>
      </c>
      <c r="BG108" s="482">
        <f t="shared" si="164"/>
        <v>548.5672222222222</v>
      </c>
    </row>
    <row r="109" spans="1:81">
      <c r="A109" s="213" t="s">
        <v>5317</v>
      </c>
      <c r="B109" s="231">
        <v>609914250</v>
      </c>
      <c r="C109" s="210" t="s">
        <v>5284</v>
      </c>
      <c r="D109" s="210">
        <v>300</v>
      </c>
      <c r="F109" s="239" t="str" cm="1">
        <f t="array" aca="1" ref="F109" ca="1">MID(met2utc(PEPSSI_Commanding[[#This Row],[MET]]),3,15)</f>
        <v>25-138/22:45:34</v>
      </c>
      <c r="G109" s="213" t="str">
        <f t="shared" si="115"/>
        <v>STAT+300</v>
      </c>
      <c r="H109" s="214">
        <f t="shared" si="116"/>
        <v>609912716</v>
      </c>
      <c r="I109" s="214">
        <f t="shared" si="117"/>
        <v>609914566</v>
      </c>
      <c r="J109" s="213">
        <f t="shared" si="118"/>
        <v>9</v>
      </c>
      <c r="K109" s="213">
        <f t="shared" si="119"/>
        <v>1</v>
      </c>
      <c r="M109" s="210">
        <f t="shared" si="120"/>
        <v>3600</v>
      </c>
      <c r="N109" s="210">
        <f t="shared" si="121"/>
        <v>40</v>
      </c>
      <c r="O109" s="210">
        <f t="shared" si="122"/>
        <v>7200</v>
      </c>
      <c r="P109" s="210">
        <f t="shared" si="123"/>
        <v>300</v>
      </c>
      <c r="Q109" s="210" t="str">
        <f t="shared" si="124"/>
        <v/>
      </c>
      <c r="R109" s="210" t="str">
        <f t="shared" si="125"/>
        <v/>
      </c>
      <c r="S109" s="210" t="str">
        <f t="shared" si="126"/>
        <v/>
      </c>
      <c r="U109" s="482">
        <f t="shared" si="127"/>
        <v>0</v>
      </c>
      <c r="V109" s="482">
        <f t="shared" si="128"/>
        <v>0</v>
      </c>
      <c r="W109" s="482">
        <f t="shared" si="129"/>
        <v>1.7066666666666668</v>
      </c>
      <c r="X109" s="482">
        <f t="shared" si="130"/>
        <v>0.55222222222222217</v>
      </c>
      <c r="Y109" s="482">
        <f t="shared" si="131"/>
        <v>33.25</v>
      </c>
      <c r="Z109" s="482">
        <f t="shared" si="132"/>
        <v>33.25</v>
      </c>
      <c r="AA109" s="482">
        <f t="shared" si="133"/>
        <v>2.7650000000000001</v>
      </c>
      <c r="AB109" s="243"/>
      <c r="AC109" s="482">
        <f t="shared" si="134"/>
        <v>0.55222222222222217</v>
      </c>
      <c r="AD109" s="482">
        <f t="shared" si="135"/>
        <v>2.7650000000000001</v>
      </c>
      <c r="AE109" s="482">
        <f t="shared" si="136"/>
        <v>3.3172222222222221</v>
      </c>
      <c r="AF109" s="482">
        <f t="shared" si="137"/>
        <v>33.25</v>
      </c>
      <c r="AG109" s="482">
        <f t="shared" si="138"/>
        <v>33.80222222222222</v>
      </c>
      <c r="AH109" s="482">
        <f t="shared" si="139"/>
        <v>36.015000000000001</v>
      </c>
      <c r="AI109" s="482">
        <f t="shared" si="140"/>
        <v>36.56722222222222</v>
      </c>
      <c r="AJ109" s="482">
        <f t="shared" si="141"/>
        <v>0</v>
      </c>
      <c r="AK109" s="482">
        <f t="shared" si="142"/>
        <v>0.55222222222222217</v>
      </c>
      <c r="AL109" s="482">
        <f t="shared" si="143"/>
        <v>2.7650000000000001</v>
      </c>
      <c r="AM109" s="482">
        <f t="shared" si="144"/>
        <v>3.3172222222222221</v>
      </c>
      <c r="AN109" s="482">
        <f t="shared" si="145"/>
        <v>33.25</v>
      </c>
      <c r="AO109" s="482">
        <f t="shared" si="146"/>
        <v>33.80222222222222</v>
      </c>
      <c r="AP109" s="482">
        <f t="shared" si="147"/>
        <v>36.015000000000001</v>
      </c>
      <c r="AQ109" s="482">
        <f t="shared" si="148"/>
        <v>36.56722222222222</v>
      </c>
      <c r="AR109" s="482">
        <f t="shared" si="149"/>
        <v>1.7066666666666668</v>
      </c>
      <c r="AS109" s="482">
        <f t="shared" si="150"/>
        <v>2.2588888888888889</v>
      </c>
      <c r="AT109" s="482">
        <f t="shared" si="151"/>
        <v>4.4716666666666667</v>
      </c>
      <c r="AU109" s="482">
        <f t="shared" si="152"/>
        <v>5.0238888888888891</v>
      </c>
      <c r="AV109" s="482">
        <f t="shared" si="153"/>
        <v>34.956666666666663</v>
      </c>
      <c r="AW109" s="482">
        <f t="shared" si="154"/>
        <v>35.508888888888883</v>
      </c>
      <c r="AX109" s="482">
        <f t="shared" si="155"/>
        <v>37.721666666666664</v>
      </c>
      <c r="AY109" s="482">
        <f t="shared" si="156"/>
        <v>38.273888888888884</v>
      </c>
      <c r="AZ109" s="482">
        <f t="shared" si="157"/>
        <v>1.7066666666666668</v>
      </c>
      <c r="BA109" s="482">
        <f t="shared" si="158"/>
        <v>2.2588888888888889</v>
      </c>
      <c r="BB109" s="482">
        <f t="shared" si="159"/>
        <v>4.4716666666666667</v>
      </c>
      <c r="BC109" s="482">
        <f t="shared" si="160"/>
        <v>5.0238888888888891</v>
      </c>
      <c r="BD109" s="482">
        <f t="shared" si="161"/>
        <v>34.956666666666663</v>
      </c>
      <c r="BE109" s="482">
        <f t="shared" si="162"/>
        <v>35.508888888888883</v>
      </c>
      <c r="BF109" s="482">
        <f t="shared" si="163"/>
        <v>37.721666666666664</v>
      </c>
      <c r="BG109" s="482">
        <f t="shared" si="164"/>
        <v>38.273888888888884</v>
      </c>
    </row>
    <row r="110" spans="1:81">
      <c r="A110" s="213" t="s">
        <v>5316</v>
      </c>
      <c r="B110" s="231">
        <v>609914566</v>
      </c>
      <c r="C110" s="210" t="s">
        <v>61</v>
      </c>
      <c r="D110" s="210">
        <v>120</v>
      </c>
      <c r="F110" s="239" t="str" cm="1">
        <f t="array" aca="1" ref="F110" ca="1">MID(met2utc(PEPSSI_Commanding[[#This Row],[MET]]),3,15)</f>
        <v>25-138/22:50:50</v>
      </c>
      <c r="G110" s="213" t="str">
        <f t="shared" ref="G110:G141" si="165">_xlfn.TEXTJOIN("+",TRUE,$C110:$D110)</f>
        <v>N2+120</v>
      </c>
      <c r="H110" s="214">
        <f t="shared" ref="H110:H141" si="166">IF($C110="ON",$B110,IF(RIGHT($H109,9)="MET Start","",IF(AND($K110&lt;&gt;0,$K109=1),$B110,$H109)))</f>
        <v>609914566</v>
      </c>
      <c r="I110" s="214">
        <f t="shared" ref="I110:I141" si="167">IF($C110="OFF",$B110,IF($B111="",$B110+31500000,IF($K110=1,$B111,I111)))</f>
        <v>611743986</v>
      </c>
      <c r="J110" s="213">
        <f t="shared" ref="J110:J141" si="168">IF($G110="ON",0,IF(OR(J109="",LEFT(J109,6)="Offset"),"",J109+1))</f>
        <v>10</v>
      </c>
      <c r="K110" s="213">
        <f t="shared" ref="K110:K141" si="169">IF($G110="OFF",0,IF(AND($J111&lt;&gt;0,$J110&lt;&gt;9,$G111&lt;&gt;"MAC+111",($B111-$B110)&lt;7200),K111+1,1))</f>
        <v>6</v>
      </c>
      <c r="M110" s="210">
        <f t="shared" ref="M110:M141" si="170">IF($C110="ON","",IF($C110="N1",$D110,IF(M109="N1","",M109)))</f>
        <v>3600</v>
      </c>
      <c r="N110" s="210">
        <f t="shared" ref="N110:N141" si="171">IF($C110="ON","",IF($C110="N2",$D110,IF($G110="MAC+103",3,IF($G110="MAC+104",2,IF(N109="N2","",N109)))))</f>
        <v>120</v>
      </c>
      <c r="O110" s="210">
        <f t="shared" ref="O110:O141" si="172">IF($C110="ON","",IF($C110="N3",$D110,IF(O109="N3","",O109)))</f>
        <v>7200</v>
      </c>
      <c r="P110" s="210">
        <f t="shared" ref="P110:P141" si="173">IF($C110="ON","",IF($C110="STAT",$D110,IF(P109="STAT","",P109)))</f>
        <v>300</v>
      </c>
      <c r="Q110" s="210" t="str">
        <f t="shared" ref="Q110:Q141" si="174">IF(OR($C110="ON",$G110="MAC+101",AND($C110="MAC",105&lt;=$D110,$D110&lt;=110)),"",IF(OR($G110="MAC+103",$G110="MAC+104",$G110="MAC+111"),"disabled",IF(Q109="N2 disabled","",Q109)))</f>
        <v/>
      </c>
      <c r="R110" s="210" t="str">
        <f t="shared" ref="R110:R141" si="175">IF(OR($G110="ON",$G110="MAC+111"),"",IF($G110="MAC+105",300,IF(OR($G110="MAC+106",$G110="MAC+101"),600,IF($G110="MAC+107",840,IF($G110="MAC+108",1200,IF($G110="MAC+109",1800,IF($G110="MAC+110",43200,IF(LEFT(R109,4)="105-","",R109))))))))</f>
        <v/>
      </c>
      <c r="S110" s="210" t="str">
        <f t="shared" ref="S110:S141" si="176">IF($C110="ON","",IF($G110="MAC+102","102",IF(RIGHT(S109,1)="?","",S109)))</f>
        <v/>
      </c>
      <c r="U110" s="482">
        <f t="shared" ref="U110:U141" si="177">IF(OR($N110="",$R110=""),0,U$1/64/$N110)</f>
        <v>0</v>
      </c>
      <c r="V110" s="482">
        <f t="shared" ref="V110:V141" si="178">IF(OR($N110="",$R110=""),0,V$1/64/$N110)</f>
        <v>0</v>
      </c>
      <c r="W110" s="482">
        <f t="shared" ref="W110:W141" si="179">IF($P110="",0,W$1/$P110)</f>
        <v>1.7066666666666668</v>
      </c>
      <c r="X110" s="482">
        <f t="shared" ref="X110:X141" si="180">IF($M110="",0,X$1/$M110)</f>
        <v>0.55222222222222217</v>
      </c>
      <c r="Y110" s="482">
        <f t="shared" ref="Y110:Y141" si="181">IF(OR($N110="",$Q110&lt;&gt;""),0,Y$1/$N110)</f>
        <v>11.083333333333334</v>
      </c>
      <c r="Z110" s="482">
        <f t="shared" ref="Z110:Z141" si="182">IF($N110="",0,IF($R110="",1,R110/43200)*Y110)</f>
        <v>11.083333333333334</v>
      </c>
      <c r="AA110" s="482">
        <f t="shared" ref="AA110:AA141" si="183">IF($O110="",0,AA$1/$O110)</f>
        <v>2.7650000000000001</v>
      </c>
      <c r="AB110" s="243"/>
      <c r="AC110" s="482">
        <f t="shared" ref="AC110:AC141" si="184">IF(AC$3&lt;&gt;"",$W110,0)+IF(AC$4&lt;&gt;"",$U110,0)+IF(AC$5&lt;&gt;"",$Z110+IF($S110&lt;&gt;"102",$V110,0),0)+IF(AC$6&lt;&gt;"",$AA110+IF($S110="102",$V110,0),0)+IF(AC$7&lt;&gt;"",$X110,0)</f>
        <v>0.55222222222222217</v>
      </c>
      <c r="AD110" s="482">
        <f t="shared" ref="AD110:AD141" si="185">IF(AD$3&lt;&gt;"",$W110,0)+IF(AD$4&lt;&gt;"",$U110,0)+IF(AD$5&lt;&gt;"",$Z110+IF($S110&lt;&gt;"102",$V110,0),0)+IF(AD$6&lt;&gt;"",$AA110+IF($S110="102",$V110,0),0)+IF(AD$7&lt;&gt;"",$X110,0)</f>
        <v>2.7650000000000001</v>
      </c>
      <c r="AE110" s="482">
        <f t="shared" ref="AE110:AE141" si="186">IF(AE$3&lt;&gt;"",$W110,0)+IF(AE$4&lt;&gt;"",$U110,0)+IF(AE$5&lt;&gt;"",$Z110+IF($S110&lt;&gt;"102",$V110,0),0)+IF(AE$6&lt;&gt;"",$AA110+IF($S110="102",$V110,0),0)+IF(AE$7&lt;&gt;"",$X110,0)</f>
        <v>3.3172222222222221</v>
      </c>
      <c r="AF110" s="482">
        <f t="shared" ref="AF110:AF141" si="187">IF(AF$3&lt;&gt;"",$W110,0)+IF(AF$4&lt;&gt;"",$U110,0)+IF(AF$5&lt;&gt;"",$Z110+IF($S110&lt;&gt;"102",$V110,0),0)+IF(AF$6&lt;&gt;"",$AA110+IF($S110="102",$V110,0),0)+IF(AF$7&lt;&gt;"",$X110,0)</f>
        <v>11.083333333333334</v>
      </c>
      <c r="AG110" s="482">
        <f t="shared" ref="AG110:AG141" si="188">IF(AG$3&lt;&gt;"",$W110,0)+IF(AG$4&lt;&gt;"",$U110,0)+IF(AG$5&lt;&gt;"",$Z110+IF($S110&lt;&gt;"102",$V110,0),0)+IF(AG$6&lt;&gt;"",$AA110+IF($S110="102",$V110,0),0)+IF(AG$7&lt;&gt;"",$X110,0)</f>
        <v>11.635555555555555</v>
      </c>
      <c r="AH110" s="482">
        <f t="shared" ref="AH110:AH141" si="189">IF(AH$3&lt;&gt;"",$W110,0)+IF(AH$4&lt;&gt;"",$U110,0)+IF(AH$5&lt;&gt;"",$Z110+IF($S110&lt;&gt;"102",$V110,0),0)+IF(AH$6&lt;&gt;"",$AA110+IF($S110="102",$V110,0),0)+IF(AH$7&lt;&gt;"",$X110,0)</f>
        <v>13.848333333333334</v>
      </c>
      <c r="AI110" s="482">
        <f t="shared" ref="AI110:AI141" si="190">IF(AI$3&lt;&gt;"",$W110,0)+IF(AI$4&lt;&gt;"",$U110,0)+IF(AI$5&lt;&gt;"",$Z110+IF($S110&lt;&gt;"102",$V110,0),0)+IF(AI$6&lt;&gt;"",$AA110+IF($S110="102",$V110,0),0)+IF(AI$7&lt;&gt;"",$X110,0)</f>
        <v>14.400555555555556</v>
      </c>
      <c r="AJ110" s="482">
        <f t="shared" ref="AJ110:AJ141" si="191">IF(AJ$3&lt;&gt;"",$W110,0)+IF(AJ$4&lt;&gt;"",$U110,0)+IF(AJ$5&lt;&gt;"",$Z110+IF($S110&lt;&gt;"102",$V110,0),0)+IF(AJ$6&lt;&gt;"",$AA110+IF($S110="102",$V110,0),0)+IF(AJ$7&lt;&gt;"",$X110,0)</f>
        <v>0</v>
      </c>
      <c r="AK110" s="482">
        <f t="shared" ref="AK110:AK141" si="192">IF(AK$3&lt;&gt;"",$W110,0)+IF(AK$4&lt;&gt;"",$U110,0)+IF(AK$5&lt;&gt;"",$Z110+IF($S110&lt;&gt;"102",$V110,0),0)+IF(AK$6&lt;&gt;"",$AA110+IF($S110="102",$V110,0),0)+IF(AK$7&lt;&gt;"",$X110,0)</f>
        <v>0.55222222222222217</v>
      </c>
      <c r="AL110" s="482">
        <f t="shared" ref="AL110:AL141" si="193">IF(AL$3&lt;&gt;"",$W110,0)+IF(AL$4&lt;&gt;"",$U110,0)+IF(AL$5&lt;&gt;"",$Z110+IF($S110&lt;&gt;"102",$V110,0),0)+IF(AL$6&lt;&gt;"",$AA110+IF($S110="102",$V110,0),0)+IF(AL$7&lt;&gt;"",$X110,0)</f>
        <v>2.7650000000000001</v>
      </c>
      <c r="AM110" s="482">
        <f t="shared" ref="AM110:AM141" si="194">IF(AM$3&lt;&gt;"",$W110,0)+IF(AM$4&lt;&gt;"",$U110,0)+IF(AM$5&lt;&gt;"",$Z110+IF($S110&lt;&gt;"102",$V110,0),0)+IF(AM$6&lt;&gt;"",$AA110+IF($S110="102",$V110,0),0)+IF(AM$7&lt;&gt;"",$X110,0)</f>
        <v>3.3172222222222221</v>
      </c>
      <c r="AN110" s="482">
        <f t="shared" ref="AN110:AN141" si="195">IF(AN$3&lt;&gt;"",$W110,0)+IF(AN$4&lt;&gt;"",$U110,0)+IF(AN$5&lt;&gt;"",$Z110+IF($S110&lt;&gt;"102",$V110,0),0)+IF(AN$6&lt;&gt;"",$AA110+IF($S110="102",$V110,0),0)+IF(AN$7&lt;&gt;"",$X110,0)</f>
        <v>11.083333333333334</v>
      </c>
      <c r="AO110" s="482">
        <f t="shared" ref="AO110:AO141" si="196">IF(AO$3&lt;&gt;"",$W110,0)+IF(AO$4&lt;&gt;"",$U110,0)+IF(AO$5&lt;&gt;"",$Z110+IF($S110&lt;&gt;"102",$V110,0),0)+IF(AO$6&lt;&gt;"",$AA110+IF($S110="102",$V110,0),0)+IF(AO$7&lt;&gt;"",$X110,0)</f>
        <v>11.635555555555555</v>
      </c>
      <c r="AP110" s="482">
        <f t="shared" ref="AP110:AP141" si="197">IF(AP$3&lt;&gt;"",$W110,0)+IF(AP$4&lt;&gt;"",$U110,0)+IF(AP$5&lt;&gt;"",$Z110+IF($S110&lt;&gt;"102",$V110,0),0)+IF(AP$6&lt;&gt;"",$AA110+IF($S110="102",$V110,0),0)+IF(AP$7&lt;&gt;"",$X110,0)</f>
        <v>13.848333333333334</v>
      </c>
      <c r="AQ110" s="482">
        <f t="shared" ref="AQ110:AQ141" si="198">IF(AQ$3&lt;&gt;"",$W110,0)+IF(AQ$4&lt;&gt;"",$U110,0)+IF(AQ$5&lt;&gt;"",$Z110+IF($S110&lt;&gt;"102",$V110,0),0)+IF(AQ$6&lt;&gt;"",$AA110+IF($S110="102",$V110,0),0)+IF(AQ$7&lt;&gt;"",$X110,0)</f>
        <v>14.400555555555556</v>
      </c>
      <c r="AR110" s="482">
        <f t="shared" ref="AR110:AR141" si="199">IF(AR$3&lt;&gt;"",$W110,0)+IF(AR$4&lt;&gt;"",$U110,0)+IF(AR$5&lt;&gt;"",$Z110+IF($S110&lt;&gt;"102",$V110,0),0)+IF(AR$6&lt;&gt;"",$AA110+IF($S110="102",$V110,0),0)+IF(AR$7&lt;&gt;"",$X110,0)</f>
        <v>1.7066666666666668</v>
      </c>
      <c r="AS110" s="482">
        <f t="shared" ref="AS110:AS141" si="200">IF(AS$3&lt;&gt;"",$W110,0)+IF(AS$4&lt;&gt;"",$U110,0)+IF(AS$5&lt;&gt;"",$Z110+IF($S110&lt;&gt;"102",$V110,0),0)+IF(AS$6&lt;&gt;"",$AA110+IF($S110="102",$V110,0),0)+IF(AS$7&lt;&gt;"",$X110,0)</f>
        <v>2.2588888888888889</v>
      </c>
      <c r="AT110" s="482">
        <f t="shared" ref="AT110:AT141" si="201">IF(AT$3&lt;&gt;"",$W110,0)+IF(AT$4&lt;&gt;"",$U110,0)+IF(AT$5&lt;&gt;"",$Z110+IF($S110&lt;&gt;"102",$V110,0),0)+IF(AT$6&lt;&gt;"",$AA110+IF($S110="102",$V110,0),0)+IF(AT$7&lt;&gt;"",$X110,0)</f>
        <v>4.4716666666666667</v>
      </c>
      <c r="AU110" s="482">
        <f t="shared" ref="AU110:AU141" si="202">IF(AU$3&lt;&gt;"",$W110,0)+IF(AU$4&lt;&gt;"",$U110,0)+IF(AU$5&lt;&gt;"",$Z110+IF($S110&lt;&gt;"102",$V110,0),0)+IF(AU$6&lt;&gt;"",$AA110+IF($S110="102",$V110,0),0)+IF(AU$7&lt;&gt;"",$X110,0)</f>
        <v>5.0238888888888891</v>
      </c>
      <c r="AV110" s="482">
        <f t="shared" ref="AV110:AV141" si="203">IF(AV$3&lt;&gt;"",$W110,0)+IF(AV$4&lt;&gt;"",$U110,0)+IF(AV$5&lt;&gt;"",$Z110+IF($S110&lt;&gt;"102",$V110,0),0)+IF(AV$6&lt;&gt;"",$AA110+IF($S110="102",$V110,0),0)+IF(AV$7&lt;&gt;"",$X110,0)</f>
        <v>12.790000000000001</v>
      </c>
      <c r="AW110" s="482">
        <f t="shared" ref="AW110:AW141" si="204">IF(AW$3&lt;&gt;"",$W110,0)+IF(AW$4&lt;&gt;"",$U110,0)+IF(AW$5&lt;&gt;"",$Z110+IF($S110&lt;&gt;"102",$V110,0),0)+IF(AW$6&lt;&gt;"",$AA110+IF($S110="102",$V110,0),0)+IF(AW$7&lt;&gt;"",$X110,0)</f>
        <v>13.342222222222222</v>
      </c>
      <c r="AX110" s="482">
        <f t="shared" ref="AX110:AX141" si="205">IF(AX$3&lt;&gt;"",$W110,0)+IF(AX$4&lt;&gt;"",$U110,0)+IF(AX$5&lt;&gt;"",$Z110+IF($S110&lt;&gt;"102",$V110,0),0)+IF(AX$6&lt;&gt;"",$AA110+IF($S110="102",$V110,0),0)+IF(AX$7&lt;&gt;"",$X110,0)</f>
        <v>15.555000000000001</v>
      </c>
      <c r="AY110" s="482">
        <f t="shared" ref="AY110:AY141" si="206">IF(AY$3&lt;&gt;"",$W110,0)+IF(AY$4&lt;&gt;"",$U110,0)+IF(AY$5&lt;&gt;"",$Z110+IF($S110&lt;&gt;"102",$V110,0),0)+IF(AY$6&lt;&gt;"",$AA110+IF($S110="102",$V110,0),0)+IF(AY$7&lt;&gt;"",$X110,0)</f>
        <v>16.107222222222223</v>
      </c>
      <c r="AZ110" s="482">
        <f t="shared" ref="AZ110:AZ141" si="207">IF(AZ$3&lt;&gt;"",$W110,0)+IF(AZ$4&lt;&gt;"",$U110,0)+IF(AZ$5&lt;&gt;"",$Z110+IF($S110&lt;&gt;"102",$V110,0),0)+IF(AZ$6&lt;&gt;"",$AA110+IF($S110="102",$V110,0),0)+IF(AZ$7&lt;&gt;"",$X110,0)</f>
        <v>1.7066666666666668</v>
      </c>
      <c r="BA110" s="482">
        <f t="shared" ref="BA110:BA141" si="208">IF(BA$3&lt;&gt;"",$W110,0)+IF(BA$4&lt;&gt;"",$U110,0)+IF(BA$5&lt;&gt;"",$Z110+IF($S110&lt;&gt;"102",$V110,0),0)+IF(BA$6&lt;&gt;"",$AA110+IF($S110="102",$V110,0),0)+IF(BA$7&lt;&gt;"",$X110,0)</f>
        <v>2.2588888888888889</v>
      </c>
      <c r="BB110" s="482">
        <f t="shared" ref="BB110:BB141" si="209">IF(BB$3&lt;&gt;"",$W110,0)+IF(BB$4&lt;&gt;"",$U110,0)+IF(BB$5&lt;&gt;"",$Z110+IF($S110&lt;&gt;"102",$V110,0),0)+IF(BB$6&lt;&gt;"",$AA110+IF($S110="102",$V110,0),0)+IF(BB$7&lt;&gt;"",$X110,0)</f>
        <v>4.4716666666666667</v>
      </c>
      <c r="BC110" s="482">
        <f t="shared" ref="BC110:BC141" si="210">IF(BC$3&lt;&gt;"",$W110,0)+IF(BC$4&lt;&gt;"",$U110,0)+IF(BC$5&lt;&gt;"",$Z110+IF($S110&lt;&gt;"102",$V110,0),0)+IF(BC$6&lt;&gt;"",$AA110+IF($S110="102",$V110,0),0)+IF(BC$7&lt;&gt;"",$X110,0)</f>
        <v>5.0238888888888891</v>
      </c>
      <c r="BD110" s="482">
        <f t="shared" ref="BD110:BD141" si="211">IF(BD$3&lt;&gt;"",$W110,0)+IF(BD$4&lt;&gt;"",$U110,0)+IF(BD$5&lt;&gt;"",$Z110+IF($S110&lt;&gt;"102",$V110,0),0)+IF(BD$6&lt;&gt;"",$AA110+IF($S110="102",$V110,0),0)+IF(BD$7&lt;&gt;"",$X110,0)</f>
        <v>12.790000000000001</v>
      </c>
      <c r="BE110" s="482">
        <f t="shared" ref="BE110:BE141" si="212">IF(BE$3&lt;&gt;"",$W110,0)+IF(BE$4&lt;&gt;"",$U110,0)+IF(BE$5&lt;&gt;"",$Z110+IF($S110&lt;&gt;"102",$V110,0),0)+IF(BE$6&lt;&gt;"",$AA110+IF($S110="102",$V110,0),0)+IF(BE$7&lt;&gt;"",$X110,0)</f>
        <v>13.342222222222222</v>
      </c>
      <c r="BF110" s="482">
        <f t="shared" ref="BF110:BF141" si="213">IF(BF$3&lt;&gt;"",$W110,0)+IF(BF$4&lt;&gt;"",$U110,0)+IF(BF$5&lt;&gt;"",$Z110+IF($S110&lt;&gt;"102",$V110,0),0)+IF(BF$6&lt;&gt;"",$AA110+IF($S110="102",$V110,0),0)+IF(BF$7&lt;&gt;"",$X110,0)</f>
        <v>15.555000000000001</v>
      </c>
      <c r="BG110" s="482">
        <f t="shared" ref="BG110:BG141" si="214">IF(BG$3&lt;&gt;"",$W110,0)+IF(BG$4&lt;&gt;"",$U110,0)+IF(BG$5&lt;&gt;"",$Z110+IF($S110&lt;&gt;"102",$V110,0),0)+IF(BG$6&lt;&gt;"",$AA110+IF($S110="102",$V110,0),0)+IF(BG$7&lt;&gt;"",$X110,0)</f>
        <v>16.107222222222223</v>
      </c>
    </row>
    <row r="111" spans="1:81">
      <c r="A111" s="213" t="s">
        <v>5316</v>
      </c>
      <c r="B111" s="231">
        <v>609914569</v>
      </c>
      <c r="C111" s="210" t="s">
        <v>1</v>
      </c>
      <c r="D111" s="210">
        <v>120</v>
      </c>
      <c r="F111" s="239" t="str" cm="1">
        <f t="array" aca="1" ref="F111" ca="1">MID(met2utc(PEPSSI_Commanding[[#This Row],[MET]]),3,15)</f>
        <v>25-138/22:50:53</v>
      </c>
      <c r="G111" s="213" t="str">
        <f t="shared" si="165"/>
        <v>N1+120</v>
      </c>
      <c r="H111" s="214">
        <f t="shared" si="166"/>
        <v>609914566</v>
      </c>
      <c r="I111" s="214">
        <f t="shared" si="167"/>
        <v>611743986</v>
      </c>
      <c r="J111" s="213">
        <f t="shared" si="168"/>
        <v>11</v>
      </c>
      <c r="K111" s="213">
        <f t="shared" si="169"/>
        <v>5</v>
      </c>
      <c r="M111" s="210">
        <f t="shared" si="170"/>
        <v>120</v>
      </c>
      <c r="N111" s="210">
        <f t="shared" si="171"/>
        <v>120</v>
      </c>
      <c r="O111" s="210">
        <f t="shared" si="172"/>
        <v>7200</v>
      </c>
      <c r="P111" s="210">
        <f t="shared" si="173"/>
        <v>300</v>
      </c>
      <c r="Q111" s="210" t="str">
        <f t="shared" si="174"/>
        <v/>
      </c>
      <c r="R111" s="210" t="str">
        <f t="shared" si="175"/>
        <v/>
      </c>
      <c r="S111" s="210" t="str">
        <f t="shared" si="176"/>
        <v/>
      </c>
      <c r="U111" s="482">
        <f t="shared" si="177"/>
        <v>0</v>
      </c>
      <c r="V111" s="482">
        <f t="shared" si="178"/>
        <v>0</v>
      </c>
      <c r="W111" s="482">
        <f t="shared" si="179"/>
        <v>1.7066666666666668</v>
      </c>
      <c r="X111" s="482">
        <f t="shared" si="180"/>
        <v>16.566666666666666</v>
      </c>
      <c r="Y111" s="482">
        <f t="shared" si="181"/>
        <v>11.083333333333334</v>
      </c>
      <c r="Z111" s="482">
        <f t="shared" si="182"/>
        <v>11.083333333333334</v>
      </c>
      <c r="AA111" s="482">
        <f t="shared" si="183"/>
        <v>2.7650000000000001</v>
      </c>
      <c r="AB111" s="243"/>
      <c r="AC111" s="482">
        <f t="shared" si="184"/>
        <v>16.566666666666666</v>
      </c>
      <c r="AD111" s="482">
        <f t="shared" si="185"/>
        <v>2.7650000000000001</v>
      </c>
      <c r="AE111" s="482">
        <f t="shared" si="186"/>
        <v>19.331666666666667</v>
      </c>
      <c r="AF111" s="482">
        <f t="shared" si="187"/>
        <v>11.083333333333334</v>
      </c>
      <c r="AG111" s="482">
        <f t="shared" si="188"/>
        <v>27.65</v>
      </c>
      <c r="AH111" s="482">
        <f t="shared" si="189"/>
        <v>13.848333333333334</v>
      </c>
      <c r="AI111" s="482">
        <f t="shared" si="190"/>
        <v>30.414999999999999</v>
      </c>
      <c r="AJ111" s="482">
        <f t="shared" si="191"/>
        <v>0</v>
      </c>
      <c r="AK111" s="482">
        <f t="shared" si="192"/>
        <v>16.566666666666666</v>
      </c>
      <c r="AL111" s="482">
        <f t="shared" si="193"/>
        <v>2.7650000000000001</v>
      </c>
      <c r="AM111" s="482">
        <f t="shared" si="194"/>
        <v>19.331666666666667</v>
      </c>
      <c r="AN111" s="482">
        <f t="shared" si="195"/>
        <v>11.083333333333334</v>
      </c>
      <c r="AO111" s="482">
        <f t="shared" si="196"/>
        <v>27.65</v>
      </c>
      <c r="AP111" s="482">
        <f t="shared" si="197"/>
        <v>13.848333333333334</v>
      </c>
      <c r="AQ111" s="482">
        <f t="shared" si="198"/>
        <v>30.414999999999999</v>
      </c>
      <c r="AR111" s="482">
        <f t="shared" si="199"/>
        <v>1.7066666666666668</v>
      </c>
      <c r="AS111" s="482">
        <f t="shared" si="200"/>
        <v>18.273333333333333</v>
      </c>
      <c r="AT111" s="482">
        <f t="shared" si="201"/>
        <v>4.4716666666666667</v>
      </c>
      <c r="AU111" s="482">
        <f t="shared" si="202"/>
        <v>21.038333333333334</v>
      </c>
      <c r="AV111" s="482">
        <f t="shared" si="203"/>
        <v>12.790000000000001</v>
      </c>
      <c r="AW111" s="482">
        <f t="shared" si="204"/>
        <v>29.356666666666669</v>
      </c>
      <c r="AX111" s="482">
        <f t="shared" si="205"/>
        <v>15.555000000000001</v>
      </c>
      <c r="AY111" s="482">
        <f t="shared" si="206"/>
        <v>32.12166666666667</v>
      </c>
      <c r="AZ111" s="482">
        <f t="shared" si="207"/>
        <v>1.7066666666666668</v>
      </c>
      <c r="BA111" s="482">
        <f t="shared" si="208"/>
        <v>18.273333333333333</v>
      </c>
      <c r="BB111" s="482">
        <f t="shared" si="209"/>
        <v>4.4716666666666667</v>
      </c>
      <c r="BC111" s="482">
        <f t="shared" si="210"/>
        <v>21.038333333333334</v>
      </c>
      <c r="BD111" s="482">
        <f t="shared" si="211"/>
        <v>12.790000000000001</v>
      </c>
      <c r="BE111" s="482">
        <f t="shared" si="212"/>
        <v>29.356666666666669</v>
      </c>
      <c r="BF111" s="482">
        <f t="shared" si="213"/>
        <v>15.555000000000001</v>
      </c>
      <c r="BG111" s="482">
        <f t="shared" si="214"/>
        <v>32.12166666666667</v>
      </c>
    </row>
    <row r="112" spans="1:81">
      <c r="A112" s="213" t="s">
        <v>5316</v>
      </c>
      <c r="B112" s="231">
        <v>609914572</v>
      </c>
      <c r="C112" s="210" t="s">
        <v>58</v>
      </c>
      <c r="D112" s="210">
        <v>7200</v>
      </c>
      <c r="F112" s="239" t="str" cm="1">
        <f t="array" aca="1" ref="F112" ca="1">MID(met2utc(PEPSSI_Commanding[[#This Row],[MET]]),3,15)</f>
        <v>25-138/22:50:56</v>
      </c>
      <c r="G112" s="213" t="str">
        <f t="shared" si="165"/>
        <v>N3+7200</v>
      </c>
      <c r="H112" s="214">
        <f t="shared" si="166"/>
        <v>609914566</v>
      </c>
      <c r="I112" s="214">
        <f t="shared" si="167"/>
        <v>611743986</v>
      </c>
      <c r="J112" s="213">
        <f t="shared" si="168"/>
        <v>12</v>
      </c>
      <c r="K112" s="213">
        <f t="shared" si="169"/>
        <v>4</v>
      </c>
      <c r="M112" s="210">
        <f t="shared" si="170"/>
        <v>120</v>
      </c>
      <c r="N112" s="210">
        <f t="shared" si="171"/>
        <v>120</v>
      </c>
      <c r="O112" s="210">
        <f t="shared" si="172"/>
        <v>7200</v>
      </c>
      <c r="P112" s="210">
        <f t="shared" si="173"/>
        <v>300</v>
      </c>
      <c r="Q112" s="210" t="str">
        <f t="shared" si="174"/>
        <v/>
      </c>
      <c r="R112" s="210" t="str">
        <f t="shared" si="175"/>
        <v/>
      </c>
      <c r="S112" s="210" t="str">
        <f t="shared" si="176"/>
        <v/>
      </c>
      <c r="U112" s="482">
        <f t="shared" si="177"/>
        <v>0</v>
      </c>
      <c r="V112" s="482">
        <f t="shared" si="178"/>
        <v>0</v>
      </c>
      <c r="W112" s="482">
        <f t="shared" si="179"/>
        <v>1.7066666666666668</v>
      </c>
      <c r="X112" s="482">
        <f t="shared" si="180"/>
        <v>16.566666666666666</v>
      </c>
      <c r="Y112" s="482">
        <f t="shared" si="181"/>
        <v>11.083333333333334</v>
      </c>
      <c r="Z112" s="482">
        <f t="shared" si="182"/>
        <v>11.083333333333334</v>
      </c>
      <c r="AA112" s="482">
        <f t="shared" si="183"/>
        <v>2.7650000000000001</v>
      </c>
      <c r="AB112" s="243"/>
      <c r="AC112" s="482">
        <f t="shared" si="184"/>
        <v>16.566666666666666</v>
      </c>
      <c r="AD112" s="482">
        <f t="shared" si="185"/>
        <v>2.7650000000000001</v>
      </c>
      <c r="AE112" s="482">
        <f t="shared" si="186"/>
        <v>19.331666666666667</v>
      </c>
      <c r="AF112" s="482">
        <f t="shared" si="187"/>
        <v>11.083333333333334</v>
      </c>
      <c r="AG112" s="482">
        <f t="shared" si="188"/>
        <v>27.65</v>
      </c>
      <c r="AH112" s="482">
        <f t="shared" si="189"/>
        <v>13.848333333333334</v>
      </c>
      <c r="AI112" s="482">
        <f t="shared" si="190"/>
        <v>30.414999999999999</v>
      </c>
      <c r="AJ112" s="482">
        <f t="shared" si="191"/>
        <v>0</v>
      </c>
      <c r="AK112" s="482">
        <f t="shared" si="192"/>
        <v>16.566666666666666</v>
      </c>
      <c r="AL112" s="482">
        <f t="shared" si="193"/>
        <v>2.7650000000000001</v>
      </c>
      <c r="AM112" s="482">
        <f t="shared" si="194"/>
        <v>19.331666666666667</v>
      </c>
      <c r="AN112" s="482">
        <f t="shared" si="195"/>
        <v>11.083333333333334</v>
      </c>
      <c r="AO112" s="482">
        <f t="shared" si="196"/>
        <v>27.65</v>
      </c>
      <c r="AP112" s="482">
        <f t="shared" si="197"/>
        <v>13.848333333333334</v>
      </c>
      <c r="AQ112" s="482">
        <f t="shared" si="198"/>
        <v>30.414999999999999</v>
      </c>
      <c r="AR112" s="482">
        <f t="shared" si="199"/>
        <v>1.7066666666666668</v>
      </c>
      <c r="AS112" s="482">
        <f t="shared" si="200"/>
        <v>18.273333333333333</v>
      </c>
      <c r="AT112" s="482">
        <f t="shared" si="201"/>
        <v>4.4716666666666667</v>
      </c>
      <c r="AU112" s="482">
        <f t="shared" si="202"/>
        <v>21.038333333333334</v>
      </c>
      <c r="AV112" s="482">
        <f t="shared" si="203"/>
        <v>12.790000000000001</v>
      </c>
      <c r="AW112" s="482">
        <f t="shared" si="204"/>
        <v>29.356666666666669</v>
      </c>
      <c r="AX112" s="482">
        <f t="shared" si="205"/>
        <v>15.555000000000001</v>
      </c>
      <c r="AY112" s="482">
        <f t="shared" si="206"/>
        <v>32.12166666666667</v>
      </c>
      <c r="AZ112" s="482">
        <f t="shared" si="207"/>
        <v>1.7066666666666668</v>
      </c>
      <c r="BA112" s="482">
        <f t="shared" si="208"/>
        <v>18.273333333333333</v>
      </c>
      <c r="BB112" s="482">
        <f t="shared" si="209"/>
        <v>4.4716666666666667</v>
      </c>
      <c r="BC112" s="482">
        <f t="shared" si="210"/>
        <v>21.038333333333334</v>
      </c>
      <c r="BD112" s="482">
        <f t="shared" si="211"/>
        <v>12.790000000000001</v>
      </c>
      <c r="BE112" s="482">
        <f t="shared" si="212"/>
        <v>29.356666666666669</v>
      </c>
      <c r="BF112" s="482">
        <f t="shared" si="213"/>
        <v>15.555000000000001</v>
      </c>
      <c r="BG112" s="482">
        <f t="shared" si="214"/>
        <v>32.12166666666667</v>
      </c>
    </row>
    <row r="113" spans="1:59">
      <c r="A113" s="213" t="s">
        <v>5317</v>
      </c>
      <c r="B113" s="231">
        <v>609914575</v>
      </c>
      <c r="C113" s="210" t="s">
        <v>5284</v>
      </c>
      <c r="D113" s="210">
        <v>1800</v>
      </c>
      <c r="F113" s="239" t="str" cm="1">
        <f t="array" aca="1" ref="F113" ca="1">MID(met2utc(PEPSSI_Commanding[[#This Row],[MET]]),3,15)</f>
        <v>25-138/22:50:59</v>
      </c>
      <c r="G113" s="213" t="str">
        <f t="shared" si="165"/>
        <v>STAT+1800</v>
      </c>
      <c r="H113" s="214">
        <f t="shared" si="166"/>
        <v>609914566</v>
      </c>
      <c r="I113" s="214">
        <f t="shared" si="167"/>
        <v>611743986</v>
      </c>
      <c r="J113" s="213">
        <f t="shared" si="168"/>
        <v>13</v>
      </c>
      <c r="K113" s="213">
        <f t="shared" si="169"/>
        <v>3</v>
      </c>
      <c r="M113" s="210">
        <f t="shared" si="170"/>
        <v>120</v>
      </c>
      <c r="N113" s="210">
        <f t="shared" si="171"/>
        <v>120</v>
      </c>
      <c r="O113" s="210">
        <f t="shared" si="172"/>
        <v>7200</v>
      </c>
      <c r="P113" s="210">
        <f t="shared" si="173"/>
        <v>1800</v>
      </c>
      <c r="Q113" s="210" t="str">
        <f t="shared" si="174"/>
        <v/>
      </c>
      <c r="R113" s="210" t="str">
        <f t="shared" si="175"/>
        <v/>
      </c>
      <c r="S113" s="210" t="str">
        <f t="shared" si="176"/>
        <v/>
      </c>
      <c r="U113" s="482">
        <f t="shared" si="177"/>
        <v>0</v>
      </c>
      <c r="V113" s="482">
        <f t="shared" si="178"/>
        <v>0</v>
      </c>
      <c r="W113" s="482">
        <f t="shared" si="179"/>
        <v>0.28444444444444444</v>
      </c>
      <c r="X113" s="482">
        <f t="shared" si="180"/>
        <v>16.566666666666666</v>
      </c>
      <c r="Y113" s="482">
        <f t="shared" si="181"/>
        <v>11.083333333333334</v>
      </c>
      <c r="Z113" s="482">
        <f t="shared" si="182"/>
        <v>11.083333333333334</v>
      </c>
      <c r="AA113" s="482">
        <f t="shared" si="183"/>
        <v>2.7650000000000001</v>
      </c>
      <c r="AB113" s="243"/>
      <c r="AC113" s="482">
        <f t="shared" si="184"/>
        <v>16.566666666666666</v>
      </c>
      <c r="AD113" s="482">
        <f t="shared" si="185"/>
        <v>2.7650000000000001</v>
      </c>
      <c r="AE113" s="482">
        <f t="shared" si="186"/>
        <v>19.331666666666667</v>
      </c>
      <c r="AF113" s="482">
        <f t="shared" si="187"/>
        <v>11.083333333333334</v>
      </c>
      <c r="AG113" s="482">
        <f t="shared" si="188"/>
        <v>27.65</v>
      </c>
      <c r="AH113" s="482">
        <f t="shared" si="189"/>
        <v>13.848333333333334</v>
      </c>
      <c r="AI113" s="482">
        <f t="shared" si="190"/>
        <v>30.414999999999999</v>
      </c>
      <c r="AJ113" s="482">
        <f t="shared" si="191"/>
        <v>0</v>
      </c>
      <c r="AK113" s="482">
        <f t="shared" si="192"/>
        <v>16.566666666666666</v>
      </c>
      <c r="AL113" s="482">
        <f t="shared" si="193"/>
        <v>2.7650000000000001</v>
      </c>
      <c r="AM113" s="482">
        <f t="shared" si="194"/>
        <v>19.331666666666667</v>
      </c>
      <c r="AN113" s="482">
        <f t="shared" si="195"/>
        <v>11.083333333333334</v>
      </c>
      <c r="AO113" s="482">
        <f t="shared" si="196"/>
        <v>27.65</v>
      </c>
      <c r="AP113" s="482">
        <f t="shared" si="197"/>
        <v>13.848333333333334</v>
      </c>
      <c r="AQ113" s="482">
        <f t="shared" si="198"/>
        <v>30.414999999999999</v>
      </c>
      <c r="AR113" s="482">
        <f t="shared" si="199"/>
        <v>0.28444444444444444</v>
      </c>
      <c r="AS113" s="482">
        <f t="shared" si="200"/>
        <v>16.851111111111109</v>
      </c>
      <c r="AT113" s="482">
        <f t="shared" si="201"/>
        <v>3.0494444444444446</v>
      </c>
      <c r="AU113" s="482">
        <f t="shared" si="202"/>
        <v>19.61611111111111</v>
      </c>
      <c r="AV113" s="482">
        <f t="shared" si="203"/>
        <v>11.367777777777778</v>
      </c>
      <c r="AW113" s="482">
        <f t="shared" si="204"/>
        <v>27.934444444444445</v>
      </c>
      <c r="AX113" s="482">
        <f t="shared" si="205"/>
        <v>14.132777777777779</v>
      </c>
      <c r="AY113" s="482">
        <f t="shared" si="206"/>
        <v>30.699444444444445</v>
      </c>
      <c r="AZ113" s="482">
        <f t="shared" si="207"/>
        <v>0.28444444444444444</v>
      </c>
      <c r="BA113" s="482">
        <f t="shared" si="208"/>
        <v>16.851111111111109</v>
      </c>
      <c r="BB113" s="482">
        <f t="shared" si="209"/>
        <v>3.0494444444444446</v>
      </c>
      <c r="BC113" s="482">
        <f t="shared" si="210"/>
        <v>19.61611111111111</v>
      </c>
      <c r="BD113" s="482">
        <f t="shared" si="211"/>
        <v>11.367777777777778</v>
      </c>
      <c r="BE113" s="482">
        <f t="shared" si="212"/>
        <v>27.934444444444445</v>
      </c>
      <c r="BF113" s="482">
        <f t="shared" si="213"/>
        <v>14.132777777777779</v>
      </c>
      <c r="BG113" s="482">
        <f t="shared" si="214"/>
        <v>30.699444444444445</v>
      </c>
    </row>
    <row r="114" spans="1:59">
      <c r="A114" s="213" t="s">
        <v>5315</v>
      </c>
      <c r="B114" s="231">
        <v>609915176</v>
      </c>
      <c r="C114" s="210" t="s">
        <v>5285</v>
      </c>
      <c r="D114" s="210">
        <v>101</v>
      </c>
      <c r="F114" s="239" t="str" cm="1">
        <f t="array" aca="1" ref="F114" ca="1">MID(met2utc(PEPSSI_Commanding[[#This Row],[MET]]),3,15)</f>
        <v>25-138/23:01:00</v>
      </c>
      <c r="G114" s="213" t="str">
        <f t="shared" si="165"/>
        <v>MAC+101</v>
      </c>
      <c r="H114" s="214">
        <f t="shared" si="166"/>
        <v>609914566</v>
      </c>
      <c r="I114" s="214">
        <f t="shared" si="167"/>
        <v>611743986</v>
      </c>
      <c r="J114" s="213">
        <f t="shared" si="168"/>
        <v>14</v>
      </c>
      <c r="K114" s="213">
        <f t="shared" si="169"/>
        <v>2</v>
      </c>
      <c r="M114" s="210">
        <f t="shared" si="170"/>
        <v>120</v>
      </c>
      <c r="N114" s="210">
        <f t="shared" si="171"/>
        <v>120</v>
      </c>
      <c r="O114" s="210">
        <f t="shared" si="172"/>
        <v>7200</v>
      </c>
      <c r="P114" s="210">
        <f t="shared" si="173"/>
        <v>1800</v>
      </c>
      <c r="Q114" s="210" t="str">
        <f t="shared" si="174"/>
        <v/>
      </c>
      <c r="R114" s="210">
        <f t="shared" si="175"/>
        <v>600</v>
      </c>
      <c r="S114" s="210" t="str">
        <f t="shared" si="176"/>
        <v/>
      </c>
      <c r="U114" s="482">
        <f t="shared" si="177"/>
        <v>7.3437500000000003E-2</v>
      </c>
      <c r="V114" s="482">
        <f t="shared" si="178"/>
        <v>0.3046875</v>
      </c>
      <c r="W114" s="482">
        <f t="shared" si="179"/>
        <v>0.28444444444444444</v>
      </c>
      <c r="X114" s="482">
        <f t="shared" si="180"/>
        <v>16.566666666666666</v>
      </c>
      <c r="Y114" s="482">
        <f t="shared" si="181"/>
        <v>11.083333333333334</v>
      </c>
      <c r="Z114" s="482">
        <f t="shared" si="182"/>
        <v>0.15393518518518517</v>
      </c>
      <c r="AA114" s="482">
        <f t="shared" si="183"/>
        <v>2.7650000000000001</v>
      </c>
      <c r="AB114" s="243"/>
      <c r="AC114" s="482">
        <f t="shared" si="184"/>
        <v>16.566666666666666</v>
      </c>
      <c r="AD114" s="482">
        <f t="shared" si="185"/>
        <v>2.7650000000000001</v>
      </c>
      <c r="AE114" s="482">
        <f t="shared" si="186"/>
        <v>19.331666666666667</v>
      </c>
      <c r="AF114" s="482">
        <f t="shared" si="187"/>
        <v>0.45862268518518517</v>
      </c>
      <c r="AG114" s="482">
        <f t="shared" si="188"/>
        <v>17.025289351851853</v>
      </c>
      <c r="AH114" s="482">
        <f t="shared" si="189"/>
        <v>3.2236226851851852</v>
      </c>
      <c r="AI114" s="482">
        <f t="shared" si="190"/>
        <v>19.79028935185185</v>
      </c>
      <c r="AJ114" s="482">
        <f t="shared" si="191"/>
        <v>7.3437500000000003E-2</v>
      </c>
      <c r="AK114" s="482">
        <f t="shared" si="192"/>
        <v>16.640104166666667</v>
      </c>
      <c r="AL114" s="482">
        <f t="shared" si="193"/>
        <v>2.8384374999999999</v>
      </c>
      <c r="AM114" s="482">
        <f t="shared" si="194"/>
        <v>19.405104166666668</v>
      </c>
      <c r="AN114" s="482">
        <f t="shared" si="195"/>
        <v>0.53206018518518516</v>
      </c>
      <c r="AO114" s="482">
        <f t="shared" si="196"/>
        <v>17.09872685185185</v>
      </c>
      <c r="AP114" s="482">
        <f t="shared" si="197"/>
        <v>3.2970601851851855</v>
      </c>
      <c r="AQ114" s="482">
        <f t="shared" si="198"/>
        <v>19.863726851851851</v>
      </c>
      <c r="AR114" s="482">
        <f t="shared" si="199"/>
        <v>0.28444444444444444</v>
      </c>
      <c r="AS114" s="482">
        <f t="shared" si="200"/>
        <v>16.851111111111109</v>
      </c>
      <c r="AT114" s="482">
        <f t="shared" si="201"/>
        <v>3.0494444444444446</v>
      </c>
      <c r="AU114" s="482">
        <f t="shared" si="202"/>
        <v>19.61611111111111</v>
      </c>
      <c r="AV114" s="482">
        <f t="shared" si="203"/>
        <v>0.74306712962962962</v>
      </c>
      <c r="AW114" s="482">
        <f t="shared" si="204"/>
        <v>17.309733796296296</v>
      </c>
      <c r="AX114" s="482">
        <f t="shared" si="205"/>
        <v>3.5080671296296297</v>
      </c>
      <c r="AY114" s="482">
        <f t="shared" si="206"/>
        <v>20.074733796296297</v>
      </c>
      <c r="AZ114" s="482">
        <f t="shared" si="207"/>
        <v>0.35788194444444443</v>
      </c>
      <c r="BA114" s="482">
        <f t="shared" si="208"/>
        <v>16.92454861111111</v>
      </c>
      <c r="BB114" s="482">
        <f t="shared" si="209"/>
        <v>3.1228819444444444</v>
      </c>
      <c r="BC114" s="482">
        <f t="shared" si="210"/>
        <v>19.68954861111111</v>
      </c>
      <c r="BD114" s="482">
        <f t="shared" si="211"/>
        <v>0.81650462962962966</v>
      </c>
      <c r="BE114" s="482">
        <f t="shared" si="212"/>
        <v>17.383171296296297</v>
      </c>
      <c r="BF114" s="482">
        <f t="shared" si="213"/>
        <v>3.58150462962963</v>
      </c>
      <c r="BG114" s="482">
        <f t="shared" si="214"/>
        <v>20.148171296296297</v>
      </c>
    </row>
    <row r="115" spans="1:59">
      <c r="A115" s="213" t="s">
        <v>5315</v>
      </c>
      <c r="B115" s="231">
        <v>609918776</v>
      </c>
      <c r="C115" s="210" t="s">
        <v>5285</v>
      </c>
      <c r="D115" s="210">
        <v>102</v>
      </c>
      <c r="F115" s="239" t="str" cm="1">
        <f t="array" aca="1" ref="F115" ca="1">MID(met2utc(PEPSSI_Commanding[[#This Row],[MET]]),3,15)</f>
        <v>25-139/00:01:00</v>
      </c>
      <c r="G115" s="213" t="str">
        <f t="shared" si="165"/>
        <v>MAC+102</v>
      </c>
      <c r="H115" s="214">
        <f t="shared" si="166"/>
        <v>609914566</v>
      </c>
      <c r="I115" s="214">
        <f t="shared" si="167"/>
        <v>611743986</v>
      </c>
      <c r="J115" s="213">
        <f t="shared" si="168"/>
        <v>15</v>
      </c>
      <c r="K115" s="213">
        <f t="shared" si="169"/>
        <v>1</v>
      </c>
      <c r="M115" s="210">
        <f t="shared" si="170"/>
        <v>120</v>
      </c>
      <c r="N115" s="210">
        <f t="shared" si="171"/>
        <v>120</v>
      </c>
      <c r="O115" s="210">
        <f t="shared" si="172"/>
        <v>7200</v>
      </c>
      <c r="P115" s="210">
        <f t="shared" si="173"/>
        <v>1800</v>
      </c>
      <c r="Q115" s="210" t="str">
        <f t="shared" si="174"/>
        <v/>
      </c>
      <c r="R115" s="210">
        <f t="shared" si="175"/>
        <v>600</v>
      </c>
      <c r="S115" s="210" t="str">
        <f t="shared" si="176"/>
        <v>102</v>
      </c>
      <c r="U115" s="482">
        <f t="shared" si="177"/>
        <v>7.3437500000000003E-2</v>
      </c>
      <c r="V115" s="482">
        <f t="shared" si="178"/>
        <v>0.3046875</v>
      </c>
      <c r="W115" s="482">
        <f t="shared" si="179"/>
        <v>0.28444444444444444</v>
      </c>
      <c r="X115" s="482">
        <f t="shared" si="180"/>
        <v>16.566666666666666</v>
      </c>
      <c r="Y115" s="482">
        <f t="shared" si="181"/>
        <v>11.083333333333334</v>
      </c>
      <c r="Z115" s="482">
        <f t="shared" si="182"/>
        <v>0.15393518518518517</v>
      </c>
      <c r="AA115" s="482">
        <f t="shared" si="183"/>
        <v>2.7650000000000001</v>
      </c>
      <c r="AB115" s="243"/>
      <c r="AC115" s="482">
        <f t="shared" si="184"/>
        <v>16.566666666666666</v>
      </c>
      <c r="AD115" s="482">
        <f t="shared" si="185"/>
        <v>3.0696875000000001</v>
      </c>
      <c r="AE115" s="482">
        <f t="shared" si="186"/>
        <v>19.636354166666667</v>
      </c>
      <c r="AF115" s="482">
        <f t="shared" si="187"/>
        <v>0.15393518518518517</v>
      </c>
      <c r="AG115" s="482">
        <f t="shared" si="188"/>
        <v>16.720601851851853</v>
      </c>
      <c r="AH115" s="482">
        <f t="shared" si="189"/>
        <v>3.2236226851851852</v>
      </c>
      <c r="AI115" s="482">
        <f t="shared" si="190"/>
        <v>19.79028935185185</v>
      </c>
      <c r="AJ115" s="482">
        <f t="shared" si="191"/>
        <v>7.3437500000000003E-2</v>
      </c>
      <c r="AK115" s="482">
        <f t="shared" si="192"/>
        <v>16.640104166666667</v>
      </c>
      <c r="AL115" s="482">
        <f t="shared" si="193"/>
        <v>3.1431249999999999</v>
      </c>
      <c r="AM115" s="482">
        <f t="shared" si="194"/>
        <v>19.709791666666668</v>
      </c>
      <c r="AN115" s="482">
        <f t="shared" si="195"/>
        <v>0.22737268518518516</v>
      </c>
      <c r="AO115" s="482">
        <f t="shared" si="196"/>
        <v>16.79403935185185</v>
      </c>
      <c r="AP115" s="482">
        <f t="shared" si="197"/>
        <v>3.2970601851851855</v>
      </c>
      <c r="AQ115" s="482">
        <f t="shared" si="198"/>
        <v>19.863726851851851</v>
      </c>
      <c r="AR115" s="482">
        <f t="shared" si="199"/>
        <v>0.28444444444444444</v>
      </c>
      <c r="AS115" s="482">
        <f t="shared" si="200"/>
        <v>16.851111111111109</v>
      </c>
      <c r="AT115" s="482">
        <f t="shared" si="201"/>
        <v>3.3541319444444446</v>
      </c>
      <c r="AU115" s="482">
        <f t="shared" si="202"/>
        <v>19.92079861111111</v>
      </c>
      <c r="AV115" s="482">
        <f t="shared" si="203"/>
        <v>0.43837962962962962</v>
      </c>
      <c r="AW115" s="482">
        <f t="shared" si="204"/>
        <v>17.005046296296296</v>
      </c>
      <c r="AX115" s="482">
        <f t="shared" si="205"/>
        <v>3.5080671296296297</v>
      </c>
      <c r="AY115" s="482">
        <f t="shared" si="206"/>
        <v>20.074733796296297</v>
      </c>
      <c r="AZ115" s="482">
        <f t="shared" si="207"/>
        <v>0.35788194444444443</v>
      </c>
      <c r="BA115" s="482">
        <f t="shared" si="208"/>
        <v>16.92454861111111</v>
      </c>
      <c r="BB115" s="482">
        <f t="shared" si="209"/>
        <v>3.4275694444444444</v>
      </c>
      <c r="BC115" s="482">
        <f t="shared" si="210"/>
        <v>19.99423611111111</v>
      </c>
      <c r="BD115" s="482">
        <f t="shared" si="211"/>
        <v>0.51181712962962966</v>
      </c>
      <c r="BE115" s="482">
        <f t="shared" si="212"/>
        <v>17.078483796296297</v>
      </c>
      <c r="BF115" s="482">
        <f t="shared" si="213"/>
        <v>3.58150462962963</v>
      </c>
      <c r="BG115" s="482">
        <f t="shared" si="214"/>
        <v>20.148171296296297</v>
      </c>
    </row>
    <row r="116" spans="1:59">
      <c r="A116" s="213" t="s">
        <v>5314</v>
      </c>
      <c r="B116" s="231">
        <v>611743986</v>
      </c>
      <c r="C116" s="210" t="s">
        <v>5318</v>
      </c>
      <c r="F116" s="239" t="str" cm="1">
        <f t="array" aca="1" ref="F116" ca="1">MID(met2utc(PEPSSI_Commanding[[#This Row],[MET]]),3,15)</f>
        <v>25-160/03:01:10</v>
      </c>
      <c r="G116" s="213" t="str">
        <f t="shared" si="165"/>
        <v>OFF</v>
      </c>
      <c r="H116" s="214">
        <f t="shared" si="166"/>
        <v>609914566</v>
      </c>
      <c r="I116" s="214">
        <f t="shared" si="167"/>
        <v>611743986</v>
      </c>
      <c r="J116" s="213">
        <f t="shared" si="168"/>
        <v>16</v>
      </c>
      <c r="K116" s="213">
        <f t="shared" si="169"/>
        <v>0</v>
      </c>
      <c r="M116" s="210">
        <f t="shared" si="170"/>
        <v>120</v>
      </c>
      <c r="N116" s="210">
        <f t="shared" si="171"/>
        <v>120</v>
      </c>
      <c r="O116" s="210">
        <f t="shared" si="172"/>
        <v>7200</v>
      </c>
      <c r="P116" s="210">
        <f t="shared" si="173"/>
        <v>1800</v>
      </c>
      <c r="Q116" s="210" t="str">
        <f t="shared" si="174"/>
        <v/>
      </c>
      <c r="R116" s="210">
        <f t="shared" si="175"/>
        <v>600</v>
      </c>
      <c r="S116" s="210" t="str">
        <f t="shared" si="176"/>
        <v>102</v>
      </c>
      <c r="U116" s="482">
        <f t="shared" si="177"/>
        <v>7.3437500000000003E-2</v>
      </c>
      <c r="V116" s="482">
        <f t="shared" si="178"/>
        <v>0.3046875</v>
      </c>
      <c r="W116" s="482">
        <f t="shared" si="179"/>
        <v>0.28444444444444444</v>
      </c>
      <c r="X116" s="482">
        <f t="shared" si="180"/>
        <v>16.566666666666666</v>
      </c>
      <c r="Y116" s="482">
        <f t="shared" si="181"/>
        <v>11.083333333333334</v>
      </c>
      <c r="Z116" s="482">
        <f t="shared" si="182"/>
        <v>0.15393518518518517</v>
      </c>
      <c r="AA116" s="482">
        <f t="shared" si="183"/>
        <v>2.7650000000000001</v>
      </c>
      <c r="AB116" s="243"/>
      <c r="AC116" s="482">
        <f t="shared" si="184"/>
        <v>16.566666666666666</v>
      </c>
      <c r="AD116" s="482">
        <f t="shared" si="185"/>
        <v>3.0696875000000001</v>
      </c>
      <c r="AE116" s="482">
        <f t="shared" si="186"/>
        <v>19.636354166666667</v>
      </c>
      <c r="AF116" s="482">
        <f t="shared" si="187"/>
        <v>0.15393518518518517</v>
      </c>
      <c r="AG116" s="482">
        <f t="shared" si="188"/>
        <v>16.720601851851853</v>
      </c>
      <c r="AH116" s="482">
        <f t="shared" si="189"/>
        <v>3.2236226851851852</v>
      </c>
      <c r="AI116" s="482">
        <f t="shared" si="190"/>
        <v>19.79028935185185</v>
      </c>
      <c r="AJ116" s="482">
        <f t="shared" si="191"/>
        <v>7.3437500000000003E-2</v>
      </c>
      <c r="AK116" s="482">
        <f t="shared" si="192"/>
        <v>16.640104166666667</v>
      </c>
      <c r="AL116" s="482">
        <f t="shared" si="193"/>
        <v>3.1431249999999999</v>
      </c>
      <c r="AM116" s="482">
        <f t="shared" si="194"/>
        <v>19.709791666666668</v>
      </c>
      <c r="AN116" s="482">
        <f t="shared" si="195"/>
        <v>0.22737268518518516</v>
      </c>
      <c r="AO116" s="482">
        <f t="shared" si="196"/>
        <v>16.79403935185185</v>
      </c>
      <c r="AP116" s="482">
        <f t="shared" si="197"/>
        <v>3.2970601851851855</v>
      </c>
      <c r="AQ116" s="482">
        <f t="shared" si="198"/>
        <v>19.863726851851851</v>
      </c>
      <c r="AR116" s="482">
        <f t="shared" si="199"/>
        <v>0.28444444444444444</v>
      </c>
      <c r="AS116" s="482">
        <f t="shared" si="200"/>
        <v>16.851111111111109</v>
      </c>
      <c r="AT116" s="482">
        <f t="shared" si="201"/>
        <v>3.3541319444444446</v>
      </c>
      <c r="AU116" s="482">
        <f t="shared" si="202"/>
        <v>19.92079861111111</v>
      </c>
      <c r="AV116" s="482">
        <f t="shared" si="203"/>
        <v>0.43837962962962962</v>
      </c>
      <c r="AW116" s="482">
        <f t="shared" si="204"/>
        <v>17.005046296296296</v>
      </c>
      <c r="AX116" s="482">
        <f t="shared" si="205"/>
        <v>3.5080671296296297</v>
      </c>
      <c r="AY116" s="482">
        <f t="shared" si="206"/>
        <v>20.074733796296297</v>
      </c>
      <c r="AZ116" s="482">
        <f t="shared" si="207"/>
        <v>0.35788194444444443</v>
      </c>
      <c r="BA116" s="482">
        <f t="shared" si="208"/>
        <v>16.92454861111111</v>
      </c>
      <c r="BB116" s="482">
        <f t="shared" si="209"/>
        <v>3.4275694444444444</v>
      </c>
      <c r="BC116" s="482">
        <f t="shared" si="210"/>
        <v>19.99423611111111</v>
      </c>
      <c r="BD116" s="482">
        <f t="shared" si="211"/>
        <v>0.51181712962962966</v>
      </c>
      <c r="BE116" s="482">
        <f t="shared" si="212"/>
        <v>17.078483796296297</v>
      </c>
      <c r="BF116" s="482">
        <f t="shared" si="213"/>
        <v>3.58150462962963</v>
      </c>
      <c r="BG116" s="482">
        <f t="shared" si="214"/>
        <v>20.148171296296297</v>
      </c>
    </row>
    <row r="117" spans="1:59">
      <c r="A117" s="213" t="s">
        <v>5314</v>
      </c>
      <c r="B117" s="231">
        <v>611744576</v>
      </c>
      <c r="C117" s="210" t="s">
        <v>433</v>
      </c>
      <c r="F117" s="239" t="str" cm="1">
        <f t="array" aca="1" ref="F117" ca="1">MID(met2utc(PEPSSI_Commanding[[#This Row],[MET]]),3,15)</f>
        <v>25-160/03:11:00</v>
      </c>
      <c r="G117" s="213" t="str">
        <f t="shared" si="165"/>
        <v>ON</v>
      </c>
      <c r="H117" s="214">
        <f t="shared" si="166"/>
        <v>611744576</v>
      </c>
      <c r="I117" s="214">
        <f t="shared" si="167"/>
        <v>611746256</v>
      </c>
      <c r="J117" s="213">
        <f t="shared" si="168"/>
        <v>0</v>
      </c>
      <c r="K117" s="213">
        <f t="shared" si="169"/>
        <v>10</v>
      </c>
      <c r="M117" s="210" t="str">
        <f t="shared" si="170"/>
        <v/>
      </c>
      <c r="N117" s="210" t="str">
        <f t="shared" si="171"/>
        <v/>
      </c>
      <c r="O117" s="210" t="str">
        <f t="shared" si="172"/>
        <v/>
      </c>
      <c r="P117" s="210" t="str">
        <f t="shared" si="173"/>
        <v/>
      </c>
      <c r="Q117" s="210" t="str">
        <f t="shared" si="174"/>
        <v/>
      </c>
      <c r="R117" s="210" t="str">
        <f t="shared" si="175"/>
        <v/>
      </c>
      <c r="S117" s="210" t="str">
        <f t="shared" si="176"/>
        <v/>
      </c>
      <c r="U117" s="482">
        <f t="shared" si="177"/>
        <v>0</v>
      </c>
      <c r="V117" s="482">
        <f t="shared" si="178"/>
        <v>0</v>
      </c>
      <c r="W117" s="482">
        <f t="shared" si="179"/>
        <v>0</v>
      </c>
      <c r="X117" s="482">
        <f t="shared" si="180"/>
        <v>0</v>
      </c>
      <c r="Y117" s="482">
        <f t="shared" si="181"/>
        <v>0</v>
      </c>
      <c r="Z117" s="482">
        <f t="shared" si="182"/>
        <v>0</v>
      </c>
      <c r="AA117" s="482">
        <f t="shared" si="183"/>
        <v>0</v>
      </c>
      <c r="AB117" s="243"/>
      <c r="AC117" s="482">
        <f t="shared" si="184"/>
        <v>0</v>
      </c>
      <c r="AD117" s="482">
        <f t="shared" si="185"/>
        <v>0</v>
      </c>
      <c r="AE117" s="482">
        <f t="shared" si="186"/>
        <v>0</v>
      </c>
      <c r="AF117" s="482">
        <f t="shared" si="187"/>
        <v>0</v>
      </c>
      <c r="AG117" s="482">
        <f t="shared" si="188"/>
        <v>0</v>
      </c>
      <c r="AH117" s="482">
        <f t="shared" si="189"/>
        <v>0</v>
      </c>
      <c r="AI117" s="482">
        <f t="shared" si="190"/>
        <v>0</v>
      </c>
      <c r="AJ117" s="482">
        <f t="shared" si="191"/>
        <v>0</v>
      </c>
      <c r="AK117" s="482">
        <f t="shared" si="192"/>
        <v>0</v>
      </c>
      <c r="AL117" s="482">
        <f t="shared" si="193"/>
        <v>0</v>
      </c>
      <c r="AM117" s="482">
        <f t="shared" si="194"/>
        <v>0</v>
      </c>
      <c r="AN117" s="482">
        <f t="shared" si="195"/>
        <v>0</v>
      </c>
      <c r="AO117" s="482">
        <f t="shared" si="196"/>
        <v>0</v>
      </c>
      <c r="AP117" s="482">
        <f t="shared" si="197"/>
        <v>0</v>
      </c>
      <c r="AQ117" s="482">
        <f t="shared" si="198"/>
        <v>0</v>
      </c>
      <c r="AR117" s="482">
        <f t="shared" si="199"/>
        <v>0</v>
      </c>
      <c r="AS117" s="482">
        <f t="shared" si="200"/>
        <v>0</v>
      </c>
      <c r="AT117" s="482">
        <f t="shared" si="201"/>
        <v>0</v>
      </c>
      <c r="AU117" s="482">
        <f t="shared" si="202"/>
        <v>0</v>
      </c>
      <c r="AV117" s="482">
        <f t="shared" si="203"/>
        <v>0</v>
      </c>
      <c r="AW117" s="482">
        <f t="shared" si="204"/>
        <v>0</v>
      </c>
      <c r="AX117" s="482">
        <f t="shared" si="205"/>
        <v>0</v>
      </c>
      <c r="AY117" s="482">
        <f t="shared" si="206"/>
        <v>0</v>
      </c>
      <c r="AZ117" s="482">
        <f t="shared" si="207"/>
        <v>0</v>
      </c>
      <c r="BA117" s="482">
        <f t="shared" si="208"/>
        <v>0</v>
      </c>
      <c r="BB117" s="482">
        <f t="shared" si="209"/>
        <v>0</v>
      </c>
      <c r="BC117" s="482">
        <f t="shared" si="210"/>
        <v>0</v>
      </c>
      <c r="BD117" s="482">
        <f t="shared" si="211"/>
        <v>0</v>
      </c>
      <c r="BE117" s="482">
        <f t="shared" si="212"/>
        <v>0</v>
      </c>
      <c r="BF117" s="482">
        <f t="shared" si="213"/>
        <v>0</v>
      </c>
      <c r="BG117" s="482">
        <f t="shared" si="214"/>
        <v>0</v>
      </c>
    </row>
    <row r="118" spans="1:59">
      <c r="A118" s="213" t="s">
        <v>5315</v>
      </c>
      <c r="B118" s="231">
        <v>611744621</v>
      </c>
      <c r="C118" s="210" t="s">
        <v>5285</v>
      </c>
      <c r="D118" s="210">
        <v>10</v>
      </c>
      <c r="F118" s="239" t="str" cm="1">
        <f t="array" aca="1" ref="F118" ca="1">MID(met2utc(PEPSSI_Commanding[[#This Row],[MET]]),3,15)</f>
        <v>25-160/03:11:45</v>
      </c>
      <c r="G118" s="213" t="str">
        <f t="shared" si="165"/>
        <v>MAC+10</v>
      </c>
      <c r="H118" s="214">
        <f t="shared" si="166"/>
        <v>611744576</v>
      </c>
      <c r="I118" s="214">
        <f t="shared" si="167"/>
        <v>611746256</v>
      </c>
      <c r="J118" s="213">
        <f t="shared" si="168"/>
        <v>1</v>
      </c>
      <c r="K118" s="213">
        <f t="shared" si="169"/>
        <v>9</v>
      </c>
      <c r="M118" s="210" t="str">
        <f t="shared" si="170"/>
        <v/>
      </c>
      <c r="N118" s="210" t="str">
        <f t="shared" si="171"/>
        <v/>
      </c>
      <c r="O118" s="210" t="str">
        <f t="shared" si="172"/>
        <v/>
      </c>
      <c r="P118" s="210" t="str">
        <f t="shared" si="173"/>
        <v/>
      </c>
      <c r="Q118" s="210" t="str">
        <f t="shared" si="174"/>
        <v/>
      </c>
      <c r="R118" s="210" t="str">
        <f t="shared" si="175"/>
        <v/>
      </c>
      <c r="S118" s="210" t="str">
        <f t="shared" si="176"/>
        <v/>
      </c>
      <c r="U118" s="482">
        <f t="shared" si="177"/>
        <v>0</v>
      </c>
      <c r="V118" s="482">
        <f t="shared" si="178"/>
        <v>0</v>
      </c>
      <c r="W118" s="482">
        <f t="shared" si="179"/>
        <v>0</v>
      </c>
      <c r="X118" s="482">
        <f t="shared" si="180"/>
        <v>0</v>
      </c>
      <c r="Y118" s="482">
        <f t="shared" si="181"/>
        <v>0</v>
      </c>
      <c r="Z118" s="482">
        <f t="shared" si="182"/>
        <v>0</v>
      </c>
      <c r="AA118" s="482">
        <f t="shared" si="183"/>
        <v>0</v>
      </c>
      <c r="AB118" s="243"/>
      <c r="AC118" s="482">
        <f t="shared" si="184"/>
        <v>0</v>
      </c>
      <c r="AD118" s="482">
        <f t="shared" si="185"/>
        <v>0</v>
      </c>
      <c r="AE118" s="482">
        <f t="shared" si="186"/>
        <v>0</v>
      </c>
      <c r="AF118" s="482">
        <f t="shared" si="187"/>
        <v>0</v>
      </c>
      <c r="AG118" s="482">
        <f t="shared" si="188"/>
        <v>0</v>
      </c>
      <c r="AH118" s="482">
        <f t="shared" si="189"/>
        <v>0</v>
      </c>
      <c r="AI118" s="482">
        <f t="shared" si="190"/>
        <v>0</v>
      </c>
      <c r="AJ118" s="482">
        <f t="shared" si="191"/>
        <v>0</v>
      </c>
      <c r="AK118" s="482">
        <f t="shared" si="192"/>
        <v>0</v>
      </c>
      <c r="AL118" s="482">
        <f t="shared" si="193"/>
        <v>0</v>
      </c>
      <c r="AM118" s="482">
        <f t="shared" si="194"/>
        <v>0</v>
      </c>
      <c r="AN118" s="482">
        <f t="shared" si="195"/>
        <v>0</v>
      </c>
      <c r="AO118" s="482">
        <f t="shared" si="196"/>
        <v>0</v>
      </c>
      <c r="AP118" s="482">
        <f t="shared" si="197"/>
        <v>0</v>
      </c>
      <c r="AQ118" s="482">
        <f t="shared" si="198"/>
        <v>0</v>
      </c>
      <c r="AR118" s="482">
        <f t="shared" si="199"/>
        <v>0</v>
      </c>
      <c r="AS118" s="482">
        <f t="shared" si="200"/>
        <v>0</v>
      </c>
      <c r="AT118" s="482">
        <f t="shared" si="201"/>
        <v>0</v>
      </c>
      <c r="AU118" s="482">
        <f t="shared" si="202"/>
        <v>0</v>
      </c>
      <c r="AV118" s="482">
        <f t="shared" si="203"/>
        <v>0</v>
      </c>
      <c r="AW118" s="482">
        <f t="shared" si="204"/>
        <v>0</v>
      </c>
      <c r="AX118" s="482">
        <f t="shared" si="205"/>
        <v>0</v>
      </c>
      <c r="AY118" s="482">
        <f t="shared" si="206"/>
        <v>0</v>
      </c>
      <c r="AZ118" s="482">
        <f t="shared" si="207"/>
        <v>0</v>
      </c>
      <c r="BA118" s="482">
        <f t="shared" si="208"/>
        <v>0</v>
      </c>
      <c r="BB118" s="482">
        <f t="shared" si="209"/>
        <v>0</v>
      </c>
      <c r="BC118" s="482">
        <f t="shared" si="210"/>
        <v>0</v>
      </c>
      <c r="BD118" s="482">
        <f t="shared" si="211"/>
        <v>0</v>
      </c>
      <c r="BE118" s="482">
        <f t="shared" si="212"/>
        <v>0</v>
      </c>
      <c r="BF118" s="482">
        <f t="shared" si="213"/>
        <v>0</v>
      </c>
      <c r="BG118" s="482">
        <f t="shared" si="214"/>
        <v>0</v>
      </c>
    </row>
    <row r="119" spans="1:59">
      <c r="A119" s="213" t="s">
        <v>5316</v>
      </c>
      <c r="B119" s="231">
        <v>611744621</v>
      </c>
      <c r="C119" s="210" t="s">
        <v>61</v>
      </c>
      <c r="D119" s="210">
        <v>10</v>
      </c>
      <c r="F119" s="239" t="str" cm="1">
        <f t="array" aca="1" ref="F119" ca="1">MID(met2utc(PEPSSI_Commanding[[#This Row],[MET]]),3,15)</f>
        <v>25-160/03:11:45</v>
      </c>
      <c r="G119" s="213" t="str">
        <f t="shared" si="165"/>
        <v>N2+10</v>
      </c>
      <c r="H119" s="214">
        <f t="shared" si="166"/>
        <v>611744576</v>
      </c>
      <c r="I119" s="214">
        <f t="shared" si="167"/>
        <v>611746256</v>
      </c>
      <c r="J119" s="213">
        <f t="shared" si="168"/>
        <v>2</v>
      </c>
      <c r="K119" s="213">
        <f t="shared" si="169"/>
        <v>8</v>
      </c>
      <c r="M119" s="210" t="str">
        <f t="shared" si="170"/>
        <v/>
      </c>
      <c r="N119" s="210">
        <f t="shared" si="171"/>
        <v>10</v>
      </c>
      <c r="O119" s="210" t="str">
        <f t="shared" si="172"/>
        <v/>
      </c>
      <c r="P119" s="210" t="str">
        <f t="shared" si="173"/>
        <v/>
      </c>
      <c r="Q119" s="210" t="str">
        <f t="shared" si="174"/>
        <v/>
      </c>
      <c r="R119" s="210" t="str">
        <f t="shared" si="175"/>
        <v/>
      </c>
      <c r="S119" s="210" t="str">
        <f t="shared" si="176"/>
        <v/>
      </c>
      <c r="U119" s="482">
        <f t="shared" si="177"/>
        <v>0</v>
      </c>
      <c r="V119" s="482">
        <f t="shared" si="178"/>
        <v>0</v>
      </c>
      <c r="W119" s="482">
        <f t="shared" si="179"/>
        <v>0</v>
      </c>
      <c r="X119" s="482">
        <f t="shared" si="180"/>
        <v>0</v>
      </c>
      <c r="Y119" s="482">
        <f t="shared" si="181"/>
        <v>133</v>
      </c>
      <c r="Z119" s="482">
        <f t="shared" si="182"/>
        <v>133</v>
      </c>
      <c r="AA119" s="482">
        <f t="shared" si="183"/>
        <v>0</v>
      </c>
      <c r="AB119" s="243"/>
      <c r="AC119" s="482">
        <f t="shared" si="184"/>
        <v>0</v>
      </c>
      <c r="AD119" s="482">
        <f t="shared" si="185"/>
        <v>0</v>
      </c>
      <c r="AE119" s="482">
        <f t="shared" si="186"/>
        <v>0</v>
      </c>
      <c r="AF119" s="482">
        <f t="shared" si="187"/>
        <v>133</v>
      </c>
      <c r="AG119" s="482">
        <f t="shared" si="188"/>
        <v>133</v>
      </c>
      <c r="AH119" s="482">
        <f t="shared" si="189"/>
        <v>133</v>
      </c>
      <c r="AI119" s="482">
        <f t="shared" si="190"/>
        <v>133</v>
      </c>
      <c r="AJ119" s="482">
        <f t="shared" si="191"/>
        <v>0</v>
      </c>
      <c r="AK119" s="482">
        <f t="shared" si="192"/>
        <v>0</v>
      </c>
      <c r="AL119" s="482">
        <f t="shared" si="193"/>
        <v>0</v>
      </c>
      <c r="AM119" s="482">
        <f t="shared" si="194"/>
        <v>0</v>
      </c>
      <c r="AN119" s="482">
        <f t="shared" si="195"/>
        <v>133</v>
      </c>
      <c r="AO119" s="482">
        <f t="shared" si="196"/>
        <v>133</v>
      </c>
      <c r="AP119" s="482">
        <f t="shared" si="197"/>
        <v>133</v>
      </c>
      <c r="AQ119" s="482">
        <f t="shared" si="198"/>
        <v>133</v>
      </c>
      <c r="AR119" s="482">
        <f t="shared" si="199"/>
        <v>0</v>
      </c>
      <c r="AS119" s="482">
        <f t="shared" si="200"/>
        <v>0</v>
      </c>
      <c r="AT119" s="482">
        <f t="shared" si="201"/>
        <v>0</v>
      </c>
      <c r="AU119" s="482">
        <f t="shared" si="202"/>
        <v>0</v>
      </c>
      <c r="AV119" s="482">
        <f t="shared" si="203"/>
        <v>133</v>
      </c>
      <c r="AW119" s="482">
        <f t="shared" si="204"/>
        <v>133</v>
      </c>
      <c r="AX119" s="482">
        <f t="shared" si="205"/>
        <v>133</v>
      </c>
      <c r="AY119" s="482">
        <f t="shared" si="206"/>
        <v>133</v>
      </c>
      <c r="AZ119" s="482">
        <f t="shared" si="207"/>
        <v>0</v>
      </c>
      <c r="BA119" s="482">
        <f t="shared" si="208"/>
        <v>0</v>
      </c>
      <c r="BB119" s="482">
        <f t="shared" si="209"/>
        <v>0</v>
      </c>
      <c r="BC119" s="482">
        <f t="shared" si="210"/>
        <v>0</v>
      </c>
      <c r="BD119" s="482">
        <f t="shared" si="211"/>
        <v>133</v>
      </c>
      <c r="BE119" s="482">
        <f t="shared" si="212"/>
        <v>133</v>
      </c>
      <c r="BF119" s="482">
        <f t="shared" si="213"/>
        <v>133</v>
      </c>
      <c r="BG119" s="482">
        <f t="shared" si="214"/>
        <v>133</v>
      </c>
    </row>
    <row r="120" spans="1:59">
      <c r="A120" s="213" t="s">
        <v>5316</v>
      </c>
      <c r="B120" s="231">
        <v>611744622</v>
      </c>
      <c r="C120" s="210" t="s">
        <v>58</v>
      </c>
      <c r="D120" s="210">
        <v>300</v>
      </c>
      <c r="F120" s="239" t="str" cm="1">
        <f t="array" aca="1" ref="F120" ca="1">MID(met2utc(PEPSSI_Commanding[[#This Row],[MET]]),3,15)</f>
        <v>25-160/03:11:46</v>
      </c>
      <c r="G120" s="213" t="str">
        <f t="shared" si="165"/>
        <v>N3+300</v>
      </c>
      <c r="H120" s="214">
        <f t="shared" si="166"/>
        <v>611744576</v>
      </c>
      <c r="I120" s="214">
        <f t="shared" si="167"/>
        <v>611746256</v>
      </c>
      <c r="J120" s="213">
        <f t="shared" si="168"/>
        <v>3</v>
      </c>
      <c r="K120" s="213">
        <f t="shared" si="169"/>
        <v>7</v>
      </c>
      <c r="M120" s="210" t="str">
        <f t="shared" si="170"/>
        <v/>
      </c>
      <c r="N120" s="210">
        <f t="shared" si="171"/>
        <v>10</v>
      </c>
      <c r="O120" s="210">
        <f t="shared" si="172"/>
        <v>300</v>
      </c>
      <c r="P120" s="210" t="str">
        <f t="shared" si="173"/>
        <v/>
      </c>
      <c r="Q120" s="210" t="str">
        <f t="shared" si="174"/>
        <v/>
      </c>
      <c r="R120" s="210" t="str">
        <f t="shared" si="175"/>
        <v/>
      </c>
      <c r="S120" s="210" t="str">
        <f t="shared" si="176"/>
        <v/>
      </c>
      <c r="U120" s="482">
        <f t="shared" si="177"/>
        <v>0</v>
      </c>
      <c r="V120" s="482">
        <f t="shared" si="178"/>
        <v>0</v>
      </c>
      <c r="W120" s="482">
        <f t="shared" si="179"/>
        <v>0</v>
      </c>
      <c r="X120" s="482">
        <f t="shared" si="180"/>
        <v>0</v>
      </c>
      <c r="Y120" s="482">
        <f t="shared" si="181"/>
        <v>133</v>
      </c>
      <c r="Z120" s="482">
        <f t="shared" si="182"/>
        <v>133</v>
      </c>
      <c r="AA120" s="482">
        <f t="shared" si="183"/>
        <v>66.36</v>
      </c>
      <c r="AB120" s="243"/>
      <c r="AC120" s="482">
        <f t="shared" si="184"/>
        <v>0</v>
      </c>
      <c r="AD120" s="482">
        <f t="shared" si="185"/>
        <v>66.36</v>
      </c>
      <c r="AE120" s="482">
        <f t="shared" si="186"/>
        <v>66.36</v>
      </c>
      <c r="AF120" s="482">
        <f t="shared" si="187"/>
        <v>133</v>
      </c>
      <c r="AG120" s="482">
        <f t="shared" si="188"/>
        <v>133</v>
      </c>
      <c r="AH120" s="482">
        <f t="shared" si="189"/>
        <v>199.36</v>
      </c>
      <c r="AI120" s="482">
        <f t="shared" si="190"/>
        <v>199.36</v>
      </c>
      <c r="AJ120" s="482">
        <f t="shared" si="191"/>
        <v>0</v>
      </c>
      <c r="AK120" s="482">
        <f t="shared" si="192"/>
        <v>0</v>
      </c>
      <c r="AL120" s="482">
        <f t="shared" si="193"/>
        <v>66.36</v>
      </c>
      <c r="AM120" s="482">
        <f t="shared" si="194"/>
        <v>66.36</v>
      </c>
      <c r="AN120" s="482">
        <f t="shared" si="195"/>
        <v>133</v>
      </c>
      <c r="AO120" s="482">
        <f t="shared" si="196"/>
        <v>133</v>
      </c>
      <c r="AP120" s="482">
        <f t="shared" si="197"/>
        <v>199.36</v>
      </c>
      <c r="AQ120" s="482">
        <f t="shared" si="198"/>
        <v>199.36</v>
      </c>
      <c r="AR120" s="482">
        <f t="shared" si="199"/>
        <v>0</v>
      </c>
      <c r="AS120" s="482">
        <f t="shared" si="200"/>
        <v>0</v>
      </c>
      <c r="AT120" s="482">
        <f t="shared" si="201"/>
        <v>66.36</v>
      </c>
      <c r="AU120" s="482">
        <f t="shared" si="202"/>
        <v>66.36</v>
      </c>
      <c r="AV120" s="482">
        <f t="shared" si="203"/>
        <v>133</v>
      </c>
      <c r="AW120" s="482">
        <f t="shared" si="204"/>
        <v>133</v>
      </c>
      <c r="AX120" s="482">
        <f t="shared" si="205"/>
        <v>199.36</v>
      </c>
      <c r="AY120" s="482">
        <f t="shared" si="206"/>
        <v>199.36</v>
      </c>
      <c r="AZ120" s="482">
        <f t="shared" si="207"/>
        <v>0</v>
      </c>
      <c r="BA120" s="482">
        <f t="shared" si="208"/>
        <v>0</v>
      </c>
      <c r="BB120" s="482">
        <f t="shared" si="209"/>
        <v>66.36</v>
      </c>
      <c r="BC120" s="482">
        <f t="shared" si="210"/>
        <v>66.36</v>
      </c>
      <c r="BD120" s="482">
        <f t="shared" si="211"/>
        <v>133</v>
      </c>
      <c r="BE120" s="482">
        <f t="shared" si="212"/>
        <v>133</v>
      </c>
      <c r="BF120" s="482">
        <f t="shared" si="213"/>
        <v>199.36</v>
      </c>
      <c r="BG120" s="482">
        <f t="shared" si="214"/>
        <v>199.36</v>
      </c>
    </row>
    <row r="121" spans="1:59">
      <c r="A121" s="213" t="s">
        <v>5316</v>
      </c>
      <c r="B121" s="231">
        <v>611744623</v>
      </c>
      <c r="C121" s="210" t="s">
        <v>1</v>
      </c>
      <c r="D121" s="210">
        <v>10</v>
      </c>
      <c r="F121" s="239" t="str" cm="1">
        <f t="array" aca="1" ref="F121" ca="1">MID(met2utc(PEPSSI_Commanding[[#This Row],[MET]]),3,15)</f>
        <v>25-160/03:11:47</v>
      </c>
      <c r="G121" s="213" t="str">
        <f t="shared" si="165"/>
        <v>N1+10</v>
      </c>
      <c r="H121" s="214">
        <f t="shared" si="166"/>
        <v>611744576</v>
      </c>
      <c r="I121" s="214">
        <f t="shared" si="167"/>
        <v>611746256</v>
      </c>
      <c r="J121" s="213">
        <f t="shared" si="168"/>
        <v>4</v>
      </c>
      <c r="K121" s="213">
        <f t="shared" si="169"/>
        <v>6</v>
      </c>
      <c r="M121" s="210">
        <f t="shared" si="170"/>
        <v>10</v>
      </c>
      <c r="N121" s="210">
        <f t="shared" si="171"/>
        <v>10</v>
      </c>
      <c r="O121" s="210">
        <f t="shared" si="172"/>
        <v>300</v>
      </c>
      <c r="P121" s="210" t="str">
        <f t="shared" si="173"/>
        <v/>
      </c>
      <c r="Q121" s="210" t="str">
        <f t="shared" si="174"/>
        <v/>
      </c>
      <c r="R121" s="210" t="str">
        <f t="shared" si="175"/>
        <v/>
      </c>
      <c r="S121" s="210" t="str">
        <f t="shared" si="176"/>
        <v/>
      </c>
      <c r="U121" s="482">
        <f t="shared" si="177"/>
        <v>0</v>
      </c>
      <c r="V121" s="482">
        <f t="shared" si="178"/>
        <v>0</v>
      </c>
      <c r="W121" s="482">
        <f t="shared" si="179"/>
        <v>0</v>
      </c>
      <c r="X121" s="482">
        <f t="shared" si="180"/>
        <v>198.8</v>
      </c>
      <c r="Y121" s="482">
        <f t="shared" si="181"/>
        <v>133</v>
      </c>
      <c r="Z121" s="482">
        <f t="shared" si="182"/>
        <v>133</v>
      </c>
      <c r="AA121" s="482">
        <f t="shared" si="183"/>
        <v>66.36</v>
      </c>
      <c r="AB121" s="243"/>
      <c r="AC121" s="482">
        <f t="shared" si="184"/>
        <v>198.8</v>
      </c>
      <c r="AD121" s="482">
        <f t="shared" si="185"/>
        <v>66.36</v>
      </c>
      <c r="AE121" s="482">
        <f t="shared" si="186"/>
        <v>265.16000000000003</v>
      </c>
      <c r="AF121" s="482">
        <f t="shared" si="187"/>
        <v>133</v>
      </c>
      <c r="AG121" s="482">
        <f t="shared" si="188"/>
        <v>331.8</v>
      </c>
      <c r="AH121" s="482">
        <f t="shared" si="189"/>
        <v>199.36</v>
      </c>
      <c r="AI121" s="482">
        <f t="shared" si="190"/>
        <v>398.16</v>
      </c>
      <c r="AJ121" s="482">
        <f t="shared" si="191"/>
        <v>0</v>
      </c>
      <c r="AK121" s="482">
        <f t="shared" si="192"/>
        <v>198.8</v>
      </c>
      <c r="AL121" s="482">
        <f t="shared" si="193"/>
        <v>66.36</v>
      </c>
      <c r="AM121" s="482">
        <f t="shared" si="194"/>
        <v>265.16000000000003</v>
      </c>
      <c r="AN121" s="482">
        <f t="shared" si="195"/>
        <v>133</v>
      </c>
      <c r="AO121" s="482">
        <f t="shared" si="196"/>
        <v>331.8</v>
      </c>
      <c r="AP121" s="482">
        <f t="shared" si="197"/>
        <v>199.36</v>
      </c>
      <c r="AQ121" s="482">
        <f t="shared" si="198"/>
        <v>398.16</v>
      </c>
      <c r="AR121" s="482">
        <f t="shared" si="199"/>
        <v>0</v>
      </c>
      <c r="AS121" s="482">
        <f t="shared" si="200"/>
        <v>198.8</v>
      </c>
      <c r="AT121" s="482">
        <f t="shared" si="201"/>
        <v>66.36</v>
      </c>
      <c r="AU121" s="482">
        <f t="shared" si="202"/>
        <v>265.16000000000003</v>
      </c>
      <c r="AV121" s="482">
        <f t="shared" si="203"/>
        <v>133</v>
      </c>
      <c r="AW121" s="482">
        <f t="shared" si="204"/>
        <v>331.8</v>
      </c>
      <c r="AX121" s="482">
        <f t="shared" si="205"/>
        <v>199.36</v>
      </c>
      <c r="AY121" s="482">
        <f t="shared" si="206"/>
        <v>398.16</v>
      </c>
      <c r="AZ121" s="482">
        <f t="shared" si="207"/>
        <v>0</v>
      </c>
      <c r="BA121" s="482">
        <f t="shared" si="208"/>
        <v>198.8</v>
      </c>
      <c r="BB121" s="482">
        <f t="shared" si="209"/>
        <v>66.36</v>
      </c>
      <c r="BC121" s="482">
        <f t="shared" si="210"/>
        <v>265.16000000000003</v>
      </c>
      <c r="BD121" s="482">
        <f t="shared" si="211"/>
        <v>133</v>
      </c>
      <c r="BE121" s="482">
        <f t="shared" si="212"/>
        <v>331.8</v>
      </c>
      <c r="BF121" s="482">
        <f t="shared" si="213"/>
        <v>199.36</v>
      </c>
      <c r="BG121" s="482">
        <f t="shared" si="214"/>
        <v>398.16</v>
      </c>
    </row>
    <row r="122" spans="1:59">
      <c r="A122" s="213" t="s">
        <v>5317</v>
      </c>
      <c r="B122" s="231">
        <v>611744624</v>
      </c>
      <c r="C122" s="210" t="s">
        <v>5284</v>
      </c>
      <c r="D122" s="210">
        <v>1</v>
      </c>
      <c r="F122" s="239" t="str" cm="1">
        <f t="array" aca="1" ref="F122" ca="1">MID(met2utc(PEPSSI_Commanding[[#This Row],[MET]]),3,15)</f>
        <v>25-160/03:11:48</v>
      </c>
      <c r="G122" s="213" t="str">
        <f t="shared" si="165"/>
        <v>STAT+1</v>
      </c>
      <c r="H122" s="214">
        <f t="shared" si="166"/>
        <v>611744576</v>
      </c>
      <c r="I122" s="214">
        <f t="shared" si="167"/>
        <v>611746256</v>
      </c>
      <c r="J122" s="213">
        <f t="shared" si="168"/>
        <v>5</v>
      </c>
      <c r="K122" s="213">
        <f t="shared" si="169"/>
        <v>5</v>
      </c>
      <c r="M122" s="210">
        <f t="shared" si="170"/>
        <v>10</v>
      </c>
      <c r="N122" s="210">
        <f t="shared" si="171"/>
        <v>10</v>
      </c>
      <c r="O122" s="210">
        <f t="shared" si="172"/>
        <v>300</v>
      </c>
      <c r="P122" s="210">
        <f t="shared" si="173"/>
        <v>1</v>
      </c>
      <c r="Q122" s="210" t="str">
        <f t="shared" si="174"/>
        <v/>
      </c>
      <c r="R122" s="210" t="str">
        <f t="shared" si="175"/>
        <v/>
      </c>
      <c r="S122" s="210" t="str">
        <f t="shared" si="176"/>
        <v/>
      </c>
      <c r="U122" s="482">
        <f t="shared" si="177"/>
        <v>0</v>
      </c>
      <c r="V122" s="482">
        <f t="shared" si="178"/>
        <v>0</v>
      </c>
      <c r="W122" s="482">
        <f t="shared" si="179"/>
        <v>512</v>
      </c>
      <c r="X122" s="482">
        <f t="shared" si="180"/>
        <v>198.8</v>
      </c>
      <c r="Y122" s="482">
        <f t="shared" si="181"/>
        <v>133</v>
      </c>
      <c r="Z122" s="482">
        <f t="shared" si="182"/>
        <v>133</v>
      </c>
      <c r="AA122" s="482">
        <f t="shared" si="183"/>
        <v>66.36</v>
      </c>
      <c r="AB122" s="243"/>
      <c r="AC122" s="482">
        <f t="shared" si="184"/>
        <v>198.8</v>
      </c>
      <c r="AD122" s="482">
        <f t="shared" si="185"/>
        <v>66.36</v>
      </c>
      <c r="AE122" s="482">
        <f t="shared" si="186"/>
        <v>265.16000000000003</v>
      </c>
      <c r="AF122" s="482">
        <f t="shared" si="187"/>
        <v>133</v>
      </c>
      <c r="AG122" s="482">
        <f t="shared" si="188"/>
        <v>331.8</v>
      </c>
      <c r="AH122" s="482">
        <f t="shared" si="189"/>
        <v>199.36</v>
      </c>
      <c r="AI122" s="482">
        <f t="shared" si="190"/>
        <v>398.16</v>
      </c>
      <c r="AJ122" s="482">
        <f t="shared" si="191"/>
        <v>0</v>
      </c>
      <c r="AK122" s="482">
        <f t="shared" si="192"/>
        <v>198.8</v>
      </c>
      <c r="AL122" s="482">
        <f t="shared" si="193"/>
        <v>66.36</v>
      </c>
      <c r="AM122" s="482">
        <f t="shared" si="194"/>
        <v>265.16000000000003</v>
      </c>
      <c r="AN122" s="482">
        <f t="shared" si="195"/>
        <v>133</v>
      </c>
      <c r="AO122" s="482">
        <f t="shared" si="196"/>
        <v>331.8</v>
      </c>
      <c r="AP122" s="482">
        <f t="shared" si="197"/>
        <v>199.36</v>
      </c>
      <c r="AQ122" s="482">
        <f t="shared" si="198"/>
        <v>398.16</v>
      </c>
      <c r="AR122" s="482">
        <f t="shared" si="199"/>
        <v>512</v>
      </c>
      <c r="AS122" s="482">
        <f t="shared" si="200"/>
        <v>710.8</v>
      </c>
      <c r="AT122" s="482">
        <f t="shared" si="201"/>
        <v>578.36</v>
      </c>
      <c r="AU122" s="482">
        <f t="shared" si="202"/>
        <v>777.16000000000008</v>
      </c>
      <c r="AV122" s="482">
        <f t="shared" si="203"/>
        <v>645</v>
      </c>
      <c r="AW122" s="482">
        <f t="shared" si="204"/>
        <v>843.8</v>
      </c>
      <c r="AX122" s="482">
        <f t="shared" si="205"/>
        <v>711.36</v>
      </c>
      <c r="AY122" s="482">
        <f t="shared" si="206"/>
        <v>910.16000000000008</v>
      </c>
      <c r="AZ122" s="482">
        <f t="shared" si="207"/>
        <v>512</v>
      </c>
      <c r="BA122" s="482">
        <f t="shared" si="208"/>
        <v>710.8</v>
      </c>
      <c r="BB122" s="482">
        <f t="shared" si="209"/>
        <v>578.36</v>
      </c>
      <c r="BC122" s="482">
        <f t="shared" si="210"/>
        <v>777.16000000000008</v>
      </c>
      <c r="BD122" s="482">
        <f t="shared" si="211"/>
        <v>645</v>
      </c>
      <c r="BE122" s="482">
        <f t="shared" si="212"/>
        <v>843.8</v>
      </c>
      <c r="BF122" s="482">
        <f t="shared" si="213"/>
        <v>711.36</v>
      </c>
      <c r="BG122" s="482">
        <f t="shared" si="214"/>
        <v>910.16000000000008</v>
      </c>
    </row>
    <row r="123" spans="1:59">
      <c r="A123" s="213" t="s">
        <v>5316</v>
      </c>
      <c r="B123" s="231">
        <v>611746107</v>
      </c>
      <c r="C123" s="210" t="s">
        <v>61</v>
      </c>
      <c r="D123" s="210">
        <v>40</v>
      </c>
      <c r="F123" s="239" t="str" cm="1">
        <f t="array" aca="1" ref="F123" ca="1">MID(met2utc(PEPSSI_Commanding[[#This Row],[MET]]),3,15)</f>
        <v>25-160/03:36:31</v>
      </c>
      <c r="G123" s="213" t="str">
        <f t="shared" si="165"/>
        <v>N2+40</v>
      </c>
      <c r="H123" s="214">
        <f t="shared" si="166"/>
        <v>611744576</v>
      </c>
      <c r="I123" s="214">
        <f t="shared" si="167"/>
        <v>611746256</v>
      </c>
      <c r="J123" s="213">
        <f t="shared" si="168"/>
        <v>6</v>
      </c>
      <c r="K123" s="213">
        <f t="shared" si="169"/>
        <v>4</v>
      </c>
      <c r="M123" s="210">
        <f t="shared" si="170"/>
        <v>10</v>
      </c>
      <c r="N123" s="210">
        <f t="shared" si="171"/>
        <v>40</v>
      </c>
      <c r="O123" s="210">
        <f t="shared" si="172"/>
        <v>300</v>
      </c>
      <c r="P123" s="210">
        <f t="shared" si="173"/>
        <v>1</v>
      </c>
      <c r="Q123" s="210" t="str">
        <f t="shared" si="174"/>
        <v/>
      </c>
      <c r="R123" s="210" t="str">
        <f t="shared" si="175"/>
        <v/>
      </c>
      <c r="S123" s="210" t="str">
        <f t="shared" si="176"/>
        <v/>
      </c>
      <c r="U123" s="482">
        <f t="shared" si="177"/>
        <v>0</v>
      </c>
      <c r="V123" s="482">
        <f t="shared" si="178"/>
        <v>0</v>
      </c>
      <c r="W123" s="482">
        <f t="shared" si="179"/>
        <v>512</v>
      </c>
      <c r="X123" s="482">
        <f t="shared" si="180"/>
        <v>198.8</v>
      </c>
      <c r="Y123" s="482">
        <f t="shared" si="181"/>
        <v>33.25</v>
      </c>
      <c r="Z123" s="482">
        <f t="shared" si="182"/>
        <v>33.25</v>
      </c>
      <c r="AA123" s="482">
        <f t="shared" si="183"/>
        <v>66.36</v>
      </c>
      <c r="AB123" s="243"/>
      <c r="AC123" s="482">
        <f t="shared" si="184"/>
        <v>198.8</v>
      </c>
      <c r="AD123" s="482">
        <f t="shared" si="185"/>
        <v>66.36</v>
      </c>
      <c r="AE123" s="482">
        <f t="shared" si="186"/>
        <v>265.16000000000003</v>
      </c>
      <c r="AF123" s="482">
        <f t="shared" si="187"/>
        <v>33.25</v>
      </c>
      <c r="AG123" s="482">
        <f t="shared" si="188"/>
        <v>232.05</v>
      </c>
      <c r="AH123" s="482">
        <f t="shared" si="189"/>
        <v>99.61</v>
      </c>
      <c r="AI123" s="482">
        <f t="shared" si="190"/>
        <v>298.41000000000003</v>
      </c>
      <c r="AJ123" s="482">
        <f t="shared" si="191"/>
        <v>0</v>
      </c>
      <c r="AK123" s="482">
        <f t="shared" si="192"/>
        <v>198.8</v>
      </c>
      <c r="AL123" s="482">
        <f t="shared" si="193"/>
        <v>66.36</v>
      </c>
      <c r="AM123" s="482">
        <f t="shared" si="194"/>
        <v>265.16000000000003</v>
      </c>
      <c r="AN123" s="482">
        <f t="shared" si="195"/>
        <v>33.25</v>
      </c>
      <c r="AO123" s="482">
        <f t="shared" si="196"/>
        <v>232.05</v>
      </c>
      <c r="AP123" s="482">
        <f t="shared" si="197"/>
        <v>99.61</v>
      </c>
      <c r="AQ123" s="482">
        <f t="shared" si="198"/>
        <v>298.41000000000003</v>
      </c>
      <c r="AR123" s="482">
        <f t="shared" si="199"/>
        <v>512</v>
      </c>
      <c r="AS123" s="482">
        <f t="shared" si="200"/>
        <v>710.8</v>
      </c>
      <c r="AT123" s="482">
        <f t="shared" si="201"/>
        <v>578.36</v>
      </c>
      <c r="AU123" s="482">
        <f t="shared" si="202"/>
        <v>777.16000000000008</v>
      </c>
      <c r="AV123" s="482">
        <f t="shared" si="203"/>
        <v>545.25</v>
      </c>
      <c r="AW123" s="482">
        <f t="shared" si="204"/>
        <v>744.05</v>
      </c>
      <c r="AX123" s="482">
        <f t="shared" si="205"/>
        <v>611.61</v>
      </c>
      <c r="AY123" s="482">
        <f t="shared" si="206"/>
        <v>810.41000000000008</v>
      </c>
      <c r="AZ123" s="482">
        <f t="shared" si="207"/>
        <v>512</v>
      </c>
      <c r="BA123" s="482">
        <f t="shared" si="208"/>
        <v>710.8</v>
      </c>
      <c r="BB123" s="482">
        <f t="shared" si="209"/>
        <v>578.36</v>
      </c>
      <c r="BC123" s="482">
        <f t="shared" si="210"/>
        <v>777.16000000000008</v>
      </c>
      <c r="BD123" s="482">
        <f t="shared" si="211"/>
        <v>545.25</v>
      </c>
      <c r="BE123" s="482">
        <f t="shared" si="212"/>
        <v>744.05</v>
      </c>
      <c r="BF123" s="482">
        <f t="shared" si="213"/>
        <v>611.61</v>
      </c>
      <c r="BG123" s="482">
        <f t="shared" si="214"/>
        <v>810.41000000000008</v>
      </c>
    </row>
    <row r="124" spans="1:59">
      <c r="A124" s="213" t="s">
        <v>5316</v>
      </c>
      <c r="B124" s="231">
        <v>611746108</v>
      </c>
      <c r="C124" s="210" t="s">
        <v>58</v>
      </c>
      <c r="D124" s="210">
        <v>7200</v>
      </c>
      <c r="F124" s="239" t="str" cm="1">
        <f t="array" aca="1" ref="F124" ca="1">MID(met2utc(PEPSSI_Commanding[[#This Row],[MET]]),3,15)</f>
        <v>25-160/03:36:32</v>
      </c>
      <c r="G124" s="213" t="str">
        <f t="shared" si="165"/>
        <v>N3+7200</v>
      </c>
      <c r="H124" s="214">
        <f t="shared" si="166"/>
        <v>611744576</v>
      </c>
      <c r="I124" s="214">
        <f t="shared" si="167"/>
        <v>611746256</v>
      </c>
      <c r="J124" s="213">
        <f t="shared" si="168"/>
        <v>7</v>
      </c>
      <c r="K124" s="213">
        <f t="shared" si="169"/>
        <v>3</v>
      </c>
      <c r="M124" s="210">
        <f t="shared" si="170"/>
        <v>10</v>
      </c>
      <c r="N124" s="210">
        <f t="shared" si="171"/>
        <v>40</v>
      </c>
      <c r="O124" s="210">
        <f t="shared" si="172"/>
        <v>7200</v>
      </c>
      <c r="P124" s="210">
        <f t="shared" si="173"/>
        <v>1</v>
      </c>
      <c r="Q124" s="210" t="str">
        <f t="shared" si="174"/>
        <v/>
      </c>
      <c r="R124" s="210" t="str">
        <f t="shared" si="175"/>
        <v/>
      </c>
      <c r="S124" s="210" t="str">
        <f t="shared" si="176"/>
        <v/>
      </c>
      <c r="U124" s="482">
        <f t="shared" si="177"/>
        <v>0</v>
      </c>
      <c r="V124" s="482">
        <f t="shared" si="178"/>
        <v>0</v>
      </c>
      <c r="W124" s="482">
        <f t="shared" si="179"/>
        <v>512</v>
      </c>
      <c r="X124" s="482">
        <f t="shared" si="180"/>
        <v>198.8</v>
      </c>
      <c r="Y124" s="482">
        <f t="shared" si="181"/>
        <v>33.25</v>
      </c>
      <c r="Z124" s="482">
        <f t="shared" si="182"/>
        <v>33.25</v>
      </c>
      <c r="AA124" s="482">
        <f t="shared" si="183"/>
        <v>2.7650000000000001</v>
      </c>
      <c r="AB124" s="243"/>
      <c r="AC124" s="482">
        <f t="shared" si="184"/>
        <v>198.8</v>
      </c>
      <c r="AD124" s="482">
        <f t="shared" si="185"/>
        <v>2.7650000000000001</v>
      </c>
      <c r="AE124" s="482">
        <f t="shared" si="186"/>
        <v>201.565</v>
      </c>
      <c r="AF124" s="482">
        <f t="shared" si="187"/>
        <v>33.25</v>
      </c>
      <c r="AG124" s="482">
        <f t="shared" si="188"/>
        <v>232.05</v>
      </c>
      <c r="AH124" s="482">
        <f t="shared" si="189"/>
        <v>36.015000000000001</v>
      </c>
      <c r="AI124" s="482">
        <f t="shared" si="190"/>
        <v>234.815</v>
      </c>
      <c r="AJ124" s="482">
        <f t="shared" si="191"/>
        <v>0</v>
      </c>
      <c r="AK124" s="482">
        <f t="shared" si="192"/>
        <v>198.8</v>
      </c>
      <c r="AL124" s="482">
        <f t="shared" si="193"/>
        <v>2.7650000000000001</v>
      </c>
      <c r="AM124" s="482">
        <f t="shared" si="194"/>
        <v>201.565</v>
      </c>
      <c r="AN124" s="482">
        <f t="shared" si="195"/>
        <v>33.25</v>
      </c>
      <c r="AO124" s="482">
        <f t="shared" si="196"/>
        <v>232.05</v>
      </c>
      <c r="AP124" s="482">
        <f t="shared" si="197"/>
        <v>36.015000000000001</v>
      </c>
      <c r="AQ124" s="482">
        <f t="shared" si="198"/>
        <v>234.815</v>
      </c>
      <c r="AR124" s="482">
        <f t="shared" si="199"/>
        <v>512</v>
      </c>
      <c r="AS124" s="482">
        <f t="shared" si="200"/>
        <v>710.8</v>
      </c>
      <c r="AT124" s="482">
        <f t="shared" si="201"/>
        <v>514.76499999999999</v>
      </c>
      <c r="AU124" s="482">
        <f t="shared" si="202"/>
        <v>713.56500000000005</v>
      </c>
      <c r="AV124" s="482">
        <f t="shared" si="203"/>
        <v>545.25</v>
      </c>
      <c r="AW124" s="482">
        <f t="shared" si="204"/>
        <v>744.05</v>
      </c>
      <c r="AX124" s="482">
        <f t="shared" si="205"/>
        <v>548.01499999999999</v>
      </c>
      <c r="AY124" s="482">
        <f t="shared" si="206"/>
        <v>746.81500000000005</v>
      </c>
      <c r="AZ124" s="482">
        <f t="shared" si="207"/>
        <v>512</v>
      </c>
      <c r="BA124" s="482">
        <f t="shared" si="208"/>
        <v>710.8</v>
      </c>
      <c r="BB124" s="482">
        <f t="shared" si="209"/>
        <v>514.76499999999999</v>
      </c>
      <c r="BC124" s="482">
        <f t="shared" si="210"/>
        <v>713.56500000000005</v>
      </c>
      <c r="BD124" s="482">
        <f t="shared" si="211"/>
        <v>545.25</v>
      </c>
      <c r="BE124" s="482">
        <f t="shared" si="212"/>
        <v>744.05</v>
      </c>
      <c r="BF124" s="482">
        <f t="shared" si="213"/>
        <v>548.01499999999999</v>
      </c>
      <c r="BG124" s="482">
        <f t="shared" si="214"/>
        <v>746.81500000000005</v>
      </c>
    </row>
    <row r="125" spans="1:59">
      <c r="A125" s="213" t="s">
        <v>5316</v>
      </c>
      <c r="B125" s="231">
        <v>611746109</v>
      </c>
      <c r="C125" s="210" t="s">
        <v>1</v>
      </c>
      <c r="D125" s="210">
        <v>3600</v>
      </c>
      <c r="F125" s="239" t="str" cm="1">
        <f t="array" aca="1" ref="F125" ca="1">MID(met2utc(PEPSSI_Commanding[[#This Row],[MET]]),3,15)</f>
        <v>25-160/03:36:33</v>
      </c>
      <c r="G125" s="213" t="str">
        <f t="shared" si="165"/>
        <v>N1+3600</v>
      </c>
      <c r="H125" s="214">
        <f t="shared" si="166"/>
        <v>611744576</v>
      </c>
      <c r="I125" s="214">
        <f t="shared" si="167"/>
        <v>611746256</v>
      </c>
      <c r="J125" s="213">
        <f t="shared" si="168"/>
        <v>8</v>
      </c>
      <c r="K125" s="213">
        <f t="shared" si="169"/>
        <v>2</v>
      </c>
      <c r="M125" s="210">
        <f t="shared" si="170"/>
        <v>3600</v>
      </c>
      <c r="N125" s="210">
        <f t="shared" si="171"/>
        <v>40</v>
      </c>
      <c r="O125" s="210">
        <f t="shared" si="172"/>
        <v>7200</v>
      </c>
      <c r="P125" s="210">
        <f t="shared" si="173"/>
        <v>1</v>
      </c>
      <c r="Q125" s="210" t="str">
        <f t="shared" si="174"/>
        <v/>
      </c>
      <c r="R125" s="210" t="str">
        <f t="shared" si="175"/>
        <v/>
      </c>
      <c r="S125" s="210" t="str">
        <f t="shared" si="176"/>
        <v/>
      </c>
      <c r="U125" s="482">
        <f t="shared" si="177"/>
        <v>0</v>
      </c>
      <c r="V125" s="482">
        <f t="shared" si="178"/>
        <v>0</v>
      </c>
      <c r="W125" s="482">
        <f t="shared" si="179"/>
        <v>512</v>
      </c>
      <c r="X125" s="482">
        <f t="shared" si="180"/>
        <v>0.55222222222222217</v>
      </c>
      <c r="Y125" s="482">
        <f t="shared" si="181"/>
        <v>33.25</v>
      </c>
      <c r="Z125" s="482">
        <f t="shared" si="182"/>
        <v>33.25</v>
      </c>
      <c r="AA125" s="482">
        <f t="shared" si="183"/>
        <v>2.7650000000000001</v>
      </c>
      <c r="AB125" s="243"/>
      <c r="AC125" s="482">
        <f t="shared" si="184"/>
        <v>0.55222222222222217</v>
      </c>
      <c r="AD125" s="482">
        <f t="shared" si="185"/>
        <v>2.7650000000000001</v>
      </c>
      <c r="AE125" s="482">
        <f t="shared" si="186"/>
        <v>3.3172222222222221</v>
      </c>
      <c r="AF125" s="482">
        <f t="shared" si="187"/>
        <v>33.25</v>
      </c>
      <c r="AG125" s="482">
        <f t="shared" si="188"/>
        <v>33.80222222222222</v>
      </c>
      <c r="AH125" s="482">
        <f t="shared" si="189"/>
        <v>36.015000000000001</v>
      </c>
      <c r="AI125" s="482">
        <f t="shared" si="190"/>
        <v>36.56722222222222</v>
      </c>
      <c r="AJ125" s="482">
        <f t="shared" si="191"/>
        <v>0</v>
      </c>
      <c r="AK125" s="482">
        <f t="shared" si="192"/>
        <v>0.55222222222222217</v>
      </c>
      <c r="AL125" s="482">
        <f t="shared" si="193"/>
        <v>2.7650000000000001</v>
      </c>
      <c r="AM125" s="482">
        <f t="shared" si="194"/>
        <v>3.3172222222222221</v>
      </c>
      <c r="AN125" s="482">
        <f t="shared" si="195"/>
        <v>33.25</v>
      </c>
      <c r="AO125" s="482">
        <f t="shared" si="196"/>
        <v>33.80222222222222</v>
      </c>
      <c r="AP125" s="482">
        <f t="shared" si="197"/>
        <v>36.015000000000001</v>
      </c>
      <c r="AQ125" s="482">
        <f t="shared" si="198"/>
        <v>36.56722222222222</v>
      </c>
      <c r="AR125" s="482">
        <f t="shared" si="199"/>
        <v>512</v>
      </c>
      <c r="AS125" s="482">
        <f t="shared" si="200"/>
        <v>512.55222222222221</v>
      </c>
      <c r="AT125" s="482">
        <f t="shared" si="201"/>
        <v>514.76499999999999</v>
      </c>
      <c r="AU125" s="482">
        <f t="shared" si="202"/>
        <v>515.3172222222222</v>
      </c>
      <c r="AV125" s="482">
        <f t="shared" si="203"/>
        <v>545.25</v>
      </c>
      <c r="AW125" s="482">
        <f t="shared" si="204"/>
        <v>545.80222222222221</v>
      </c>
      <c r="AX125" s="482">
        <f t="shared" si="205"/>
        <v>548.01499999999999</v>
      </c>
      <c r="AY125" s="482">
        <f t="shared" si="206"/>
        <v>548.5672222222222</v>
      </c>
      <c r="AZ125" s="482">
        <f t="shared" si="207"/>
        <v>512</v>
      </c>
      <c r="BA125" s="482">
        <f t="shared" si="208"/>
        <v>512.55222222222221</v>
      </c>
      <c r="BB125" s="482">
        <f t="shared" si="209"/>
        <v>514.76499999999999</v>
      </c>
      <c r="BC125" s="482">
        <f t="shared" si="210"/>
        <v>515.3172222222222</v>
      </c>
      <c r="BD125" s="482">
        <f t="shared" si="211"/>
        <v>545.25</v>
      </c>
      <c r="BE125" s="482">
        <f t="shared" si="212"/>
        <v>545.80222222222221</v>
      </c>
      <c r="BF125" s="482">
        <f t="shared" si="213"/>
        <v>548.01499999999999</v>
      </c>
      <c r="BG125" s="482">
        <f t="shared" si="214"/>
        <v>548.5672222222222</v>
      </c>
    </row>
    <row r="126" spans="1:59">
      <c r="A126" s="213" t="s">
        <v>5317</v>
      </c>
      <c r="B126" s="231">
        <v>611746110</v>
      </c>
      <c r="C126" s="210" t="s">
        <v>5284</v>
      </c>
      <c r="D126" s="210">
        <v>300</v>
      </c>
      <c r="F126" s="239" t="str" cm="1">
        <f t="array" aca="1" ref="F126" ca="1">MID(met2utc(PEPSSI_Commanding[[#This Row],[MET]]),3,15)</f>
        <v>25-160/03:36:34</v>
      </c>
      <c r="G126" s="213" t="str">
        <f t="shared" si="165"/>
        <v>STAT+300</v>
      </c>
      <c r="H126" s="214">
        <f t="shared" si="166"/>
        <v>611744576</v>
      </c>
      <c r="I126" s="214">
        <f t="shared" si="167"/>
        <v>611746256</v>
      </c>
      <c r="J126" s="213">
        <f t="shared" si="168"/>
        <v>9</v>
      </c>
      <c r="K126" s="213">
        <f t="shared" si="169"/>
        <v>1</v>
      </c>
      <c r="M126" s="210">
        <f t="shared" si="170"/>
        <v>3600</v>
      </c>
      <c r="N126" s="210">
        <f t="shared" si="171"/>
        <v>40</v>
      </c>
      <c r="O126" s="210">
        <f t="shared" si="172"/>
        <v>7200</v>
      </c>
      <c r="P126" s="210">
        <f t="shared" si="173"/>
        <v>300</v>
      </c>
      <c r="Q126" s="210" t="str">
        <f t="shared" si="174"/>
        <v/>
      </c>
      <c r="R126" s="210" t="str">
        <f t="shared" si="175"/>
        <v/>
      </c>
      <c r="S126" s="210" t="str">
        <f t="shared" si="176"/>
        <v/>
      </c>
      <c r="U126" s="482">
        <f t="shared" si="177"/>
        <v>0</v>
      </c>
      <c r="V126" s="482">
        <f t="shared" si="178"/>
        <v>0</v>
      </c>
      <c r="W126" s="482">
        <f t="shared" si="179"/>
        <v>1.7066666666666668</v>
      </c>
      <c r="X126" s="482">
        <f t="shared" si="180"/>
        <v>0.55222222222222217</v>
      </c>
      <c r="Y126" s="482">
        <f t="shared" si="181"/>
        <v>33.25</v>
      </c>
      <c r="Z126" s="482">
        <f t="shared" si="182"/>
        <v>33.25</v>
      </c>
      <c r="AA126" s="482">
        <f t="shared" si="183"/>
        <v>2.7650000000000001</v>
      </c>
      <c r="AB126" s="243"/>
      <c r="AC126" s="482">
        <f t="shared" si="184"/>
        <v>0.55222222222222217</v>
      </c>
      <c r="AD126" s="482">
        <f t="shared" si="185"/>
        <v>2.7650000000000001</v>
      </c>
      <c r="AE126" s="482">
        <f t="shared" si="186"/>
        <v>3.3172222222222221</v>
      </c>
      <c r="AF126" s="482">
        <f t="shared" si="187"/>
        <v>33.25</v>
      </c>
      <c r="AG126" s="482">
        <f t="shared" si="188"/>
        <v>33.80222222222222</v>
      </c>
      <c r="AH126" s="482">
        <f t="shared" si="189"/>
        <v>36.015000000000001</v>
      </c>
      <c r="AI126" s="482">
        <f t="shared" si="190"/>
        <v>36.56722222222222</v>
      </c>
      <c r="AJ126" s="482">
        <f t="shared" si="191"/>
        <v>0</v>
      </c>
      <c r="AK126" s="482">
        <f t="shared" si="192"/>
        <v>0.55222222222222217</v>
      </c>
      <c r="AL126" s="482">
        <f t="shared" si="193"/>
        <v>2.7650000000000001</v>
      </c>
      <c r="AM126" s="482">
        <f t="shared" si="194"/>
        <v>3.3172222222222221</v>
      </c>
      <c r="AN126" s="482">
        <f t="shared" si="195"/>
        <v>33.25</v>
      </c>
      <c r="AO126" s="482">
        <f t="shared" si="196"/>
        <v>33.80222222222222</v>
      </c>
      <c r="AP126" s="482">
        <f t="shared" si="197"/>
        <v>36.015000000000001</v>
      </c>
      <c r="AQ126" s="482">
        <f t="shared" si="198"/>
        <v>36.56722222222222</v>
      </c>
      <c r="AR126" s="482">
        <f t="shared" si="199"/>
        <v>1.7066666666666668</v>
      </c>
      <c r="AS126" s="482">
        <f t="shared" si="200"/>
        <v>2.2588888888888889</v>
      </c>
      <c r="AT126" s="482">
        <f t="shared" si="201"/>
        <v>4.4716666666666667</v>
      </c>
      <c r="AU126" s="482">
        <f t="shared" si="202"/>
        <v>5.0238888888888891</v>
      </c>
      <c r="AV126" s="482">
        <f t="shared" si="203"/>
        <v>34.956666666666663</v>
      </c>
      <c r="AW126" s="482">
        <f t="shared" si="204"/>
        <v>35.508888888888883</v>
      </c>
      <c r="AX126" s="482">
        <f t="shared" si="205"/>
        <v>37.721666666666664</v>
      </c>
      <c r="AY126" s="482">
        <f t="shared" si="206"/>
        <v>38.273888888888884</v>
      </c>
      <c r="AZ126" s="482">
        <f t="shared" si="207"/>
        <v>1.7066666666666668</v>
      </c>
      <c r="BA126" s="482">
        <f t="shared" si="208"/>
        <v>2.2588888888888889</v>
      </c>
      <c r="BB126" s="482">
        <f t="shared" si="209"/>
        <v>4.4716666666666667</v>
      </c>
      <c r="BC126" s="482">
        <f t="shared" si="210"/>
        <v>5.0238888888888891</v>
      </c>
      <c r="BD126" s="482">
        <f t="shared" si="211"/>
        <v>34.956666666666663</v>
      </c>
      <c r="BE126" s="482">
        <f t="shared" si="212"/>
        <v>35.508888888888883</v>
      </c>
      <c r="BF126" s="482">
        <f t="shared" si="213"/>
        <v>37.721666666666664</v>
      </c>
      <c r="BG126" s="482">
        <f t="shared" si="214"/>
        <v>38.273888888888884</v>
      </c>
    </row>
    <row r="127" spans="1:59">
      <c r="A127" s="213" t="s">
        <v>5316</v>
      </c>
      <c r="B127" s="231">
        <v>611746256</v>
      </c>
      <c r="C127" s="210" t="s">
        <v>61</v>
      </c>
      <c r="D127" s="210">
        <v>180</v>
      </c>
      <c r="F127" s="239" t="str" cm="1">
        <f t="array" aca="1" ref="F127" ca="1">MID(met2utc(PEPSSI_Commanding[[#This Row],[MET]]),3,15)</f>
        <v>25-160/03:39:00</v>
      </c>
      <c r="G127" s="213" t="str">
        <f t="shared" si="165"/>
        <v>N2+180</v>
      </c>
      <c r="H127" s="214">
        <f t="shared" si="166"/>
        <v>611746256</v>
      </c>
      <c r="I127" s="214">
        <f t="shared" si="167"/>
        <v>613555316</v>
      </c>
      <c r="J127" s="213">
        <f t="shared" si="168"/>
        <v>10</v>
      </c>
      <c r="K127" s="213">
        <f t="shared" si="169"/>
        <v>7</v>
      </c>
      <c r="M127" s="210">
        <f t="shared" si="170"/>
        <v>3600</v>
      </c>
      <c r="N127" s="210">
        <f t="shared" si="171"/>
        <v>180</v>
      </c>
      <c r="O127" s="210">
        <f t="shared" si="172"/>
        <v>7200</v>
      </c>
      <c r="P127" s="210">
        <f t="shared" si="173"/>
        <v>300</v>
      </c>
      <c r="Q127" s="210" t="str">
        <f t="shared" si="174"/>
        <v/>
      </c>
      <c r="R127" s="210" t="str">
        <f t="shared" si="175"/>
        <v/>
      </c>
      <c r="S127" s="210" t="str">
        <f t="shared" si="176"/>
        <v/>
      </c>
      <c r="U127" s="482">
        <f t="shared" si="177"/>
        <v>0</v>
      </c>
      <c r="V127" s="482">
        <f t="shared" si="178"/>
        <v>0</v>
      </c>
      <c r="W127" s="482">
        <f t="shared" si="179"/>
        <v>1.7066666666666668</v>
      </c>
      <c r="X127" s="482">
        <f t="shared" si="180"/>
        <v>0.55222222222222217</v>
      </c>
      <c r="Y127" s="482">
        <f t="shared" si="181"/>
        <v>7.3888888888888893</v>
      </c>
      <c r="Z127" s="482">
        <f t="shared" si="182"/>
        <v>7.3888888888888893</v>
      </c>
      <c r="AA127" s="482">
        <f t="shared" si="183"/>
        <v>2.7650000000000001</v>
      </c>
      <c r="AB127" s="243"/>
      <c r="AC127" s="482">
        <f t="shared" si="184"/>
        <v>0.55222222222222217</v>
      </c>
      <c r="AD127" s="482">
        <f t="shared" si="185"/>
        <v>2.7650000000000001</v>
      </c>
      <c r="AE127" s="482">
        <f t="shared" si="186"/>
        <v>3.3172222222222221</v>
      </c>
      <c r="AF127" s="482">
        <f t="shared" si="187"/>
        <v>7.3888888888888893</v>
      </c>
      <c r="AG127" s="482">
        <f t="shared" si="188"/>
        <v>7.9411111111111117</v>
      </c>
      <c r="AH127" s="482">
        <f t="shared" si="189"/>
        <v>10.15388888888889</v>
      </c>
      <c r="AI127" s="482">
        <f t="shared" si="190"/>
        <v>10.706111111111111</v>
      </c>
      <c r="AJ127" s="482">
        <f t="shared" si="191"/>
        <v>0</v>
      </c>
      <c r="AK127" s="482">
        <f t="shared" si="192"/>
        <v>0.55222222222222217</v>
      </c>
      <c r="AL127" s="482">
        <f t="shared" si="193"/>
        <v>2.7650000000000001</v>
      </c>
      <c r="AM127" s="482">
        <f t="shared" si="194"/>
        <v>3.3172222222222221</v>
      </c>
      <c r="AN127" s="482">
        <f t="shared" si="195"/>
        <v>7.3888888888888893</v>
      </c>
      <c r="AO127" s="482">
        <f t="shared" si="196"/>
        <v>7.9411111111111117</v>
      </c>
      <c r="AP127" s="482">
        <f t="shared" si="197"/>
        <v>10.15388888888889</v>
      </c>
      <c r="AQ127" s="482">
        <f t="shared" si="198"/>
        <v>10.706111111111111</v>
      </c>
      <c r="AR127" s="482">
        <f t="shared" si="199"/>
        <v>1.7066666666666668</v>
      </c>
      <c r="AS127" s="482">
        <f t="shared" si="200"/>
        <v>2.2588888888888889</v>
      </c>
      <c r="AT127" s="482">
        <f t="shared" si="201"/>
        <v>4.4716666666666667</v>
      </c>
      <c r="AU127" s="482">
        <f t="shared" si="202"/>
        <v>5.0238888888888891</v>
      </c>
      <c r="AV127" s="482">
        <f t="shared" si="203"/>
        <v>9.0955555555555563</v>
      </c>
      <c r="AW127" s="482">
        <f t="shared" si="204"/>
        <v>9.6477777777777778</v>
      </c>
      <c r="AX127" s="482">
        <f t="shared" si="205"/>
        <v>11.860555555555557</v>
      </c>
      <c r="AY127" s="482">
        <f t="shared" si="206"/>
        <v>12.412777777777778</v>
      </c>
      <c r="AZ127" s="482">
        <f t="shared" si="207"/>
        <v>1.7066666666666668</v>
      </c>
      <c r="BA127" s="482">
        <f t="shared" si="208"/>
        <v>2.2588888888888889</v>
      </c>
      <c r="BB127" s="482">
        <f t="shared" si="209"/>
        <v>4.4716666666666667</v>
      </c>
      <c r="BC127" s="482">
        <f t="shared" si="210"/>
        <v>5.0238888888888891</v>
      </c>
      <c r="BD127" s="482">
        <f t="shared" si="211"/>
        <v>9.0955555555555563</v>
      </c>
      <c r="BE127" s="482">
        <f t="shared" si="212"/>
        <v>9.6477777777777778</v>
      </c>
      <c r="BF127" s="482">
        <f t="shared" si="213"/>
        <v>11.860555555555557</v>
      </c>
      <c r="BG127" s="482">
        <f t="shared" si="214"/>
        <v>12.412777777777778</v>
      </c>
    </row>
    <row r="128" spans="1:59">
      <c r="A128" s="213" t="s">
        <v>5316</v>
      </c>
      <c r="B128" s="231">
        <v>611746259</v>
      </c>
      <c r="C128" s="210" t="s">
        <v>1</v>
      </c>
      <c r="D128" s="210">
        <v>180</v>
      </c>
      <c r="F128" s="239" t="str" cm="1">
        <f t="array" aca="1" ref="F128" ca="1">MID(met2utc(PEPSSI_Commanding[[#This Row],[MET]]),3,15)</f>
        <v>25-160/03:39:03</v>
      </c>
      <c r="G128" s="213" t="str">
        <f t="shared" si="165"/>
        <v>N1+180</v>
      </c>
      <c r="H128" s="214">
        <f t="shared" si="166"/>
        <v>611746256</v>
      </c>
      <c r="I128" s="214">
        <f t="shared" si="167"/>
        <v>613555316</v>
      </c>
      <c r="J128" s="213">
        <f t="shared" si="168"/>
        <v>11</v>
      </c>
      <c r="K128" s="213">
        <f t="shared" si="169"/>
        <v>6</v>
      </c>
      <c r="M128" s="210">
        <f t="shared" si="170"/>
        <v>180</v>
      </c>
      <c r="N128" s="210">
        <f t="shared" si="171"/>
        <v>180</v>
      </c>
      <c r="O128" s="210">
        <f t="shared" si="172"/>
        <v>7200</v>
      </c>
      <c r="P128" s="210">
        <f t="shared" si="173"/>
        <v>300</v>
      </c>
      <c r="Q128" s="210" t="str">
        <f t="shared" si="174"/>
        <v/>
      </c>
      <c r="R128" s="210" t="str">
        <f t="shared" si="175"/>
        <v/>
      </c>
      <c r="S128" s="210" t="str">
        <f t="shared" si="176"/>
        <v/>
      </c>
      <c r="U128" s="482">
        <f t="shared" si="177"/>
        <v>0</v>
      </c>
      <c r="V128" s="482">
        <f t="shared" si="178"/>
        <v>0</v>
      </c>
      <c r="W128" s="482">
        <f t="shared" si="179"/>
        <v>1.7066666666666668</v>
      </c>
      <c r="X128" s="482">
        <f t="shared" si="180"/>
        <v>11.044444444444444</v>
      </c>
      <c r="Y128" s="482">
        <f t="shared" si="181"/>
        <v>7.3888888888888893</v>
      </c>
      <c r="Z128" s="482">
        <f t="shared" si="182"/>
        <v>7.3888888888888893</v>
      </c>
      <c r="AA128" s="482">
        <f t="shared" si="183"/>
        <v>2.7650000000000001</v>
      </c>
      <c r="AB128" s="243"/>
      <c r="AC128" s="482">
        <f t="shared" si="184"/>
        <v>11.044444444444444</v>
      </c>
      <c r="AD128" s="482">
        <f t="shared" si="185"/>
        <v>2.7650000000000001</v>
      </c>
      <c r="AE128" s="482">
        <f t="shared" si="186"/>
        <v>13.809444444444445</v>
      </c>
      <c r="AF128" s="482">
        <f t="shared" si="187"/>
        <v>7.3888888888888893</v>
      </c>
      <c r="AG128" s="482">
        <f t="shared" si="188"/>
        <v>18.433333333333334</v>
      </c>
      <c r="AH128" s="482">
        <f t="shared" si="189"/>
        <v>10.15388888888889</v>
      </c>
      <c r="AI128" s="482">
        <f t="shared" si="190"/>
        <v>21.198333333333334</v>
      </c>
      <c r="AJ128" s="482">
        <f t="shared" si="191"/>
        <v>0</v>
      </c>
      <c r="AK128" s="482">
        <f t="shared" si="192"/>
        <v>11.044444444444444</v>
      </c>
      <c r="AL128" s="482">
        <f t="shared" si="193"/>
        <v>2.7650000000000001</v>
      </c>
      <c r="AM128" s="482">
        <f t="shared" si="194"/>
        <v>13.809444444444445</v>
      </c>
      <c r="AN128" s="482">
        <f t="shared" si="195"/>
        <v>7.3888888888888893</v>
      </c>
      <c r="AO128" s="482">
        <f t="shared" si="196"/>
        <v>18.433333333333334</v>
      </c>
      <c r="AP128" s="482">
        <f t="shared" si="197"/>
        <v>10.15388888888889</v>
      </c>
      <c r="AQ128" s="482">
        <f t="shared" si="198"/>
        <v>21.198333333333334</v>
      </c>
      <c r="AR128" s="482">
        <f t="shared" si="199"/>
        <v>1.7066666666666668</v>
      </c>
      <c r="AS128" s="482">
        <f t="shared" si="200"/>
        <v>12.751111111111111</v>
      </c>
      <c r="AT128" s="482">
        <f t="shared" si="201"/>
        <v>4.4716666666666667</v>
      </c>
      <c r="AU128" s="482">
        <f t="shared" si="202"/>
        <v>15.516111111111112</v>
      </c>
      <c r="AV128" s="482">
        <f t="shared" si="203"/>
        <v>9.0955555555555563</v>
      </c>
      <c r="AW128" s="482">
        <f t="shared" si="204"/>
        <v>20.14</v>
      </c>
      <c r="AX128" s="482">
        <f t="shared" si="205"/>
        <v>11.860555555555557</v>
      </c>
      <c r="AY128" s="482">
        <f t="shared" si="206"/>
        <v>22.905000000000001</v>
      </c>
      <c r="AZ128" s="482">
        <f t="shared" si="207"/>
        <v>1.7066666666666668</v>
      </c>
      <c r="BA128" s="482">
        <f t="shared" si="208"/>
        <v>12.751111111111111</v>
      </c>
      <c r="BB128" s="482">
        <f t="shared" si="209"/>
        <v>4.4716666666666667</v>
      </c>
      <c r="BC128" s="482">
        <f t="shared" si="210"/>
        <v>15.516111111111112</v>
      </c>
      <c r="BD128" s="482">
        <f t="shared" si="211"/>
        <v>9.0955555555555563</v>
      </c>
      <c r="BE128" s="482">
        <f t="shared" si="212"/>
        <v>20.14</v>
      </c>
      <c r="BF128" s="482">
        <f t="shared" si="213"/>
        <v>11.860555555555557</v>
      </c>
      <c r="BG128" s="482">
        <f t="shared" si="214"/>
        <v>22.905000000000001</v>
      </c>
    </row>
    <row r="129" spans="1:59">
      <c r="A129" s="213" t="s">
        <v>5316</v>
      </c>
      <c r="B129" s="231">
        <v>611746262</v>
      </c>
      <c r="C129" s="210" t="s">
        <v>58</v>
      </c>
      <c r="D129" s="210">
        <v>7200</v>
      </c>
      <c r="F129" s="239" t="str" cm="1">
        <f t="array" aca="1" ref="F129" ca="1">MID(met2utc(PEPSSI_Commanding[[#This Row],[MET]]),3,15)</f>
        <v>25-160/03:39:06</v>
      </c>
      <c r="G129" s="213" t="str">
        <f t="shared" si="165"/>
        <v>N3+7200</v>
      </c>
      <c r="H129" s="214">
        <f t="shared" si="166"/>
        <v>611746256</v>
      </c>
      <c r="I129" s="214">
        <f t="shared" si="167"/>
        <v>613555316</v>
      </c>
      <c r="J129" s="213">
        <f t="shared" si="168"/>
        <v>12</v>
      </c>
      <c r="K129" s="213">
        <f t="shared" si="169"/>
        <v>5</v>
      </c>
      <c r="M129" s="210">
        <f t="shared" si="170"/>
        <v>180</v>
      </c>
      <c r="N129" s="210">
        <f t="shared" si="171"/>
        <v>180</v>
      </c>
      <c r="O129" s="210">
        <f t="shared" si="172"/>
        <v>7200</v>
      </c>
      <c r="P129" s="210">
        <f t="shared" si="173"/>
        <v>300</v>
      </c>
      <c r="Q129" s="210" t="str">
        <f t="shared" si="174"/>
        <v/>
      </c>
      <c r="R129" s="210" t="str">
        <f t="shared" si="175"/>
        <v/>
      </c>
      <c r="S129" s="210" t="str">
        <f t="shared" si="176"/>
        <v/>
      </c>
      <c r="U129" s="482">
        <f t="shared" si="177"/>
        <v>0</v>
      </c>
      <c r="V129" s="482">
        <f t="shared" si="178"/>
        <v>0</v>
      </c>
      <c r="W129" s="482">
        <f t="shared" si="179"/>
        <v>1.7066666666666668</v>
      </c>
      <c r="X129" s="482">
        <f t="shared" si="180"/>
        <v>11.044444444444444</v>
      </c>
      <c r="Y129" s="482">
        <f t="shared" si="181"/>
        <v>7.3888888888888893</v>
      </c>
      <c r="Z129" s="482">
        <f t="shared" si="182"/>
        <v>7.3888888888888893</v>
      </c>
      <c r="AA129" s="482">
        <f t="shared" si="183"/>
        <v>2.7650000000000001</v>
      </c>
      <c r="AB129" s="243"/>
      <c r="AC129" s="482">
        <f t="shared" si="184"/>
        <v>11.044444444444444</v>
      </c>
      <c r="AD129" s="482">
        <f t="shared" si="185"/>
        <v>2.7650000000000001</v>
      </c>
      <c r="AE129" s="482">
        <f t="shared" si="186"/>
        <v>13.809444444444445</v>
      </c>
      <c r="AF129" s="482">
        <f t="shared" si="187"/>
        <v>7.3888888888888893</v>
      </c>
      <c r="AG129" s="482">
        <f t="shared" si="188"/>
        <v>18.433333333333334</v>
      </c>
      <c r="AH129" s="482">
        <f t="shared" si="189"/>
        <v>10.15388888888889</v>
      </c>
      <c r="AI129" s="482">
        <f t="shared" si="190"/>
        <v>21.198333333333334</v>
      </c>
      <c r="AJ129" s="482">
        <f t="shared" si="191"/>
        <v>0</v>
      </c>
      <c r="AK129" s="482">
        <f t="shared" si="192"/>
        <v>11.044444444444444</v>
      </c>
      <c r="AL129" s="482">
        <f t="shared" si="193"/>
        <v>2.7650000000000001</v>
      </c>
      <c r="AM129" s="482">
        <f t="shared" si="194"/>
        <v>13.809444444444445</v>
      </c>
      <c r="AN129" s="482">
        <f t="shared" si="195"/>
        <v>7.3888888888888893</v>
      </c>
      <c r="AO129" s="482">
        <f t="shared" si="196"/>
        <v>18.433333333333334</v>
      </c>
      <c r="AP129" s="482">
        <f t="shared" si="197"/>
        <v>10.15388888888889</v>
      </c>
      <c r="AQ129" s="482">
        <f t="shared" si="198"/>
        <v>21.198333333333334</v>
      </c>
      <c r="AR129" s="482">
        <f t="shared" si="199"/>
        <v>1.7066666666666668</v>
      </c>
      <c r="AS129" s="482">
        <f t="shared" si="200"/>
        <v>12.751111111111111</v>
      </c>
      <c r="AT129" s="482">
        <f t="shared" si="201"/>
        <v>4.4716666666666667</v>
      </c>
      <c r="AU129" s="482">
        <f t="shared" si="202"/>
        <v>15.516111111111112</v>
      </c>
      <c r="AV129" s="482">
        <f t="shared" si="203"/>
        <v>9.0955555555555563</v>
      </c>
      <c r="AW129" s="482">
        <f t="shared" si="204"/>
        <v>20.14</v>
      </c>
      <c r="AX129" s="482">
        <f t="shared" si="205"/>
        <v>11.860555555555557</v>
      </c>
      <c r="AY129" s="482">
        <f t="shared" si="206"/>
        <v>22.905000000000001</v>
      </c>
      <c r="AZ129" s="482">
        <f t="shared" si="207"/>
        <v>1.7066666666666668</v>
      </c>
      <c r="BA129" s="482">
        <f t="shared" si="208"/>
        <v>12.751111111111111</v>
      </c>
      <c r="BB129" s="482">
        <f t="shared" si="209"/>
        <v>4.4716666666666667</v>
      </c>
      <c r="BC129" s="482">
        <f t="shared" si="210"/>
        <v>15.516111111111112</v>
      </c>
      <c r="BD129" s="482">
        <f t="shared" si="211"/>
        <v>9.0955555555555563</v>
      </c>
      <c r="BE129" s="482">
        <f t="shared" si="212"/>
        <v>20.14</v>
      </c>
      <c r="BF129" s="482">
        <f t="shared" si="213"/>
        <v>11.860555555555557</v>
      </c>
      <c r="BG129" s="482">
        <f t="shared" si="214"/>
        <v>22.905000000000001</v>
      </c>
    </row>
    <row r="130" spans="1:59">
      <c r="A130" s="213" t="s">
        <v>5317</v>
      </c>
      <c r="B130" s="231">
        <v>611746265</v>
      </c>
      <c r="C130" s="210" t="s">
        <v>5284</v>
      </c>
      <c r="D130" s="210">
        <v>1800</v>
      </c>
      <c r="F130" s="239" t="str" cm="1">
        <f t="array" aca="1" ref="F130" ca="1">MID(met2utc(PEPSSI_Commanding[[#This Row],[MET]]),3,15)</f>
        <v>25-160/03:39:09</v>
      </c>
      <c r="G130" s="213" t="str">
        <f t="shared" si="165"/>
        <v>STAT+1800</v>
      </c>
      <c r="H130" s="214">
        <f t="shared" si="166"/>
        <v>611746256</v>
      </c>
      <c r="I130" s="214">
        <f t="shared" si="167"/>
        <v>613555316</v>
      </c>
      <c r="J130" s="213">
        <f t="shared" si="168"/>
        <v>13</v>
      </c>
      <c r="K130" s="213">
        <f t="shared" si="169"/>
        <v>4</v>
      </c>
      <c r="M130" s="210">
        <f t="shared" si="170"/>
        <v>180</v>
      </c>
      <c r="N130" s="210">
        <f t="shared" si="171"/>
        <v>180</v>
      </c>
      <c r="O130" s="210">
        <f t="shared" si="172"/>
        <v>7200</v>
      </c>
      <c r="P130" s="210">
        <f t="shared" si="173"/>
        <v>1800</v>
      </c>
      <c r="Q130" s="210" t="str">
        <f t="shared" si="174"/>
        <v/>
      </c>
      <c r="R130" s="210" t="str">
        <f t="shared" si="175"/>
        <v/>
      </c>
      <c r="S130" s="210" t="str">
        <f t="shared" si="176"/>
        <v/>
      </c>
      <c r="U130" s="482">
        <f t="shared" si="177"/>
        <v>0</v>
      </c>
      <c r="V130" s="482">
        <f t="shared" si="178"/>
        <v>0</v>
      </c>
      <c r="W130" s="482">
        <f t="shared" si="179"/>
        <v>0.28444444444444444</v>
      </c>
      <c r="X130" s="482">
        <f t="shared" si="180"/>
        <v>11.044444444444444</v>
      </c>
      <c r="Y130" s="482">
        <f t="shared" si="181"/>
        <v>7.3888888888888893</v>
      </c>
      <c r="Z130" s="482">
        <f t="shared" si="182"/>
        <v>7.3888888888888893</v>
      </c>
      <c r="AA130" s="482">
        <f t="shared" si="183"/>
        <v>2.7650000000000001</v>
      </c>
      <c r="AB130" s="243"/>
      <c r="AC130" s="482">
        <f t="shared" si="184"/>
        <v>11.044444444444444</v>
      </c>
      <c r="AD130" s="482">
        <f t="shared" si="185"/>
        <v>2.7650000000000001</v>
      </c>
      <c r="AE130" s="482">
        <f t="shared" si="186"/>
        <v>13.809444444444445</v>
      </c>
      <c r="AF130" s="482">
        <f t="shared" si="187"/>
        <v>7.3888888888888893</v>
      </c>
      <c r="AG130" s="482">
        <f t="shared" si="188"/>
        <v>18.433333333333334</v>
      </c>
      <c r="AH130" s="482">
        <f t="shared" si="189"/>
        <v>10.15388888888889</v>
      </c>
      <c r="AI130" s="482">
        <f t="shared" si="190"/>
        <v>21.198333333333334</v>
      </c>
      <c r="AJ130" s="482">
        <f t="shared" si="191"/>
        <v>0</v>
      </c>
      <c r="AK130" s="482">
        <f t="shared" si="192"/>
        <v>11.044444444444444</v>
      </c>
      <c r="AL130" s="482">
        <f t="shared" si="193"/>
        <v>2.7650000000000001</v>
      </c>
      <c r="AM130" s="482">
        <f t="shared" si="194"/>
        <v>13.809444444444445</v>
      </c>
      <c r="AN130" s="482">
        <f t="shared" si="195"/>
        <v>7.3888888888888893</v>
      </c>
      <c r="AO130" s="482">
        <f t="shared" si="196"/>
        <v>18.433333333333334</v>
      </c>
      <c r="AP130" s="482">
        <f t="shared" si="197"/>
        <v>10.15388888888889</v>
      </c>
      <c r="AQ130" s="482">
        <f t="shared" si="198"/>
        <v>21.198333333333334</v>
      </c>
      <c r="AR130" s="482">
        <f t="shared" si="199"/>
        <v>0.28444444444444444</v>
      </c>
      <c r="AS130" s="482">
        <f t="shared" si="200"/>
        <v>11.328888888888889</v>
      </c>
      <c r="AT130" s="482">
        <f t="shared" si="201"/>
        <v>3.0494444444444446</v>
      </c>
      <c r="AU130" s="482">
        <f t="shared" si="202"/>
        <v>14.093888888888889</v>
      </c>
      <c r="AV130" s="482">
        <f t="shared" si="203"/>
        <v>7.6733333333333338</v>
      </c>
      <c r="AW130" s="482">
        <f t="shared" si="204"/>
        <v>18.717777777777776</v>
      </c>
      <c r="AX130" s="482">
        <f t="shared" si="205"/>
        <v>10.438333333333334</v>
      </c>
      <c r="AY130" s="482">
        <f t="shared" si="206"/>
        <v>21.482777777777777</v>
      </c>
      <c r="AZ130" s="482">
        <f t="shared" si="207"/>
        <v>0.28444444444444444</v>
      </c>
      <c r="BA130" s="482">
        <f t="shared" si="208"/>
        <v>11.328888888888889</v>
      </c>
      <c r="BB130" s="482">
        <f t="shared" si="209"/>
        <v>3.0494444444444446</v>
      </c>
      <c r="BC130" s="482">
        <f t="shared" si="210"/>
        <v>14.093888888888889</v>
      </c>
      <c r="BD130" s="482">
        <f t="shared" si="211"/>
        <v>7.6733333333333338</v>
      </c>
      <c r="BE130" s="482">
        <f t="shared" si="212"/>
        <v>18.717777777777776</v>
      </c>
      <c r="BF130" s="482">
        <f t="shared" si="213"/>
        <v>10.438333333333334</v>
      </c>
      <c r="BG130" s="482">
        <f t="shared" si="214"/>
        <v>21.482777777777777</v>
      </c>
    </row>
    <row r="131" spans="1:59">
      <c r="A131" s="213" t="s">
        <v>5315</v>
      </c>
      <c r="B131" s="231">
        <v>611746856</v>
      </c>
      <c r="C131" s="210" t="s">
        <v>5285</v>
      </c>
      <c r="D131" s="210">
        <v>102</v>
      </c>
      <c r="F131" s="239" t="str" cm="1">
        <f t="array" aca="1" ref="F131" ca="1">MID(met2utc(PEPSSI_Commanding[[#This Row],[MET]]),3,15)</f>
        <v>25-160/03:49:00</v>
      </c>
      <c r="G131" s="213" t="str">
        <f t="shared" si="165"/>
        <v>MAC+102</v>
      </c>
      <c r="H131" s="214">
        <f t="shared" si="166"/>
        <v>611746256</v>
      </c>
      <c r="I131" s="214">
        <f t="shared" si="167"/>
        <v>613555316</v>
      </c>
      <c r="J131" s="213">
        <f t="shared" si="168"/>
        <v>14</v>
      </c>
      <c r="K131" s="213">
        <f t="shared" si="169"/>
        <v>3</v>
      </c>
      <c r="M131" s="210">
        <f t="shared" si="170"/>
        <v>180</v>
      </c>
      <c r="N131" s="210">
        <f t="shared" si="171"/>
        <v>180</v>
      </c>
      <c r="O131" s="210">
        <f t="shared" si="172"/>
        <v>7200</v>
      </c>
      <c r="P131" s="210">
        <f t="shared" si="173"/>
        <v>1800</v>
      </c>
      <c r="Q131" s="210" t="str">
        <f t="shared" si="174"/>
        <v/>
      </c>
      <c r="R131" s="210" t="str">
        <f t="shared" si="175"/>
        <v/>
      </c>
      <c r="S131" s="210" t="str">
        <f t="shared" si="176"/>
        <v>102</v>
      </c>
      <c r="U131" s="482">
        <f t="shared" si="177"/>
        <v>0</v>
      </c>
      <c r="V131" s="482">
        <f t="shared" si="178"/>
        <v>0</v>
      </c>
      <c r="W131" s="482">
        <f t="shared" si="179"/>
        <v>0.28444444444444444</v>
      </c>
      <c r="X131" s="482">
        <f t="shared" si="180"/>
        <v>11.044444444444444</v>
      </c>
      <c r="Y131" s="482">
        <f t="shared" si="181"/>
        <v>7.3888888888888893</v>
      </c>
      <c r="Z131" s="482">
        <f t="shared" si="182"/>
        <v>7.3888888888888893</v>
      </c>
      <c r="AA131" s="482">
        <f t="shared" si="183"/>
        <v>2.7650000000000001</v>
      </c>
      <c r="AB131" s="243"/>
      <c r="AC131" s="482">
        <f t="shared" si="184"/>
        <v>11.044444444444444</v>
      </c>
      <c r="AD131" s="482">
        <f t="shared" si="185"/>
        <v>2.7650000000000001</v>
      </c>
      <c r="AE131" s="482">
        <f t="shared" si="186"/>
        <v>13.809444444444445</v>
      </c>
      <c r="AF131" s="482">
        <f t="shared" si="187"/>
        <v>7.3888888888888893</v>
      </c>
      <c r="AG131" s="482">
        <f t="shared" si="188"/>
        <v>18.433333333333334</v>
      </c>
      <c r="AH131" s="482">
        <f t="shared" si="189"/>
        <v>10.15388888888889</v>
      </c>
      <c r="AI131" s="482">
        <f t="shared" si="190"/>
        <v>21.198333333333334</v>
      </c>
      <c r="AJ131" s="482">
        <f t="shared" si="191"/>
        <v>0</v>
      </c>
      <c r="AK131" s="482">
        <f t="shared" si="192"/>
        <v>11.044444444444444</v>
      </c>
      <c r="AL131" s="482">
        <f t="shared" si="193"/>
        <v>2.7650000000000001</v>
      </c>
      <c r="AM131" s="482">
        <f t="shared" si="194"/>
        <v>13.809444444444445</v>
      </c>
      <c r="AN131" s="482">
        <f t="shared" si="195"/>
        <v>7.3888888888888893</v>
      </c>
      <c r="AO131" s="482">
        <f t="shared" si="196"/>
        <v>18.433333333333334</v>
      </c>
      <c r="AP131" s="482">
        <f t="shared" si="197"/>
        <v>10.15388888888889</v>
      </c>
      <c r="AQ131" s="482">
        <f t="shared" si="198"/>
        <v>21.198333333333334</v>
      </c>
      <c r="AR131" s="482">
        <f t="shared" si="199"/>
        <v>0.28444444444444444</v>
      </c>
      <c r="AS131" s="482">
        <f t="shared" si="200"/>
        <v>11.328888888888889</v>
      </c>
      <c r="AT131" s="482">
        <f t="shared" si="201"/>
        <v>3.0494444444444446</v>
      </c>
      <c r="AU131" s="482">
        <f t="shared" si="202"/>
        <v>14.093888888888889</v>
      </c>
      <c r="AV131" s="482">
        <f t="shared" si="203"/>
        <v>7.6733333333333338</v>
      </c>
      <c r="AW131" s="482">
        <f t="shared" si="204"/>
        <v>18.717777777777776</v>
      </c>
      <c r="AX131" s="482">
        <f t="shared" si="205"/>
        <v>10.438333333333334</v>
      </c>
      <c r="AY131" s="482">
        <f t="shared" si="206"/>
        <v>21.482777777777777</v>
      </c>
      <c r="AZ131" s="482">
        <f t="shared" si="207"/>
        <v>0.28444444444444444</v>
      </c>
      <c r="BA131" s="482">
        <f t="shared" si="208"/>
        <v>11.328888888888889</v>
      </c>
      <c r="BB131" s="482">
        <f t="shared" si="209"/>
        <v>3.0494444444444446</v>
      </c>
      <c r="BC131" s="482">
        <f t="shared" si="210"/>
        <v>14.093888888888889</v>
      </c>
      <c r="BD131" s="482">
        <f t="shared" si="211"/>
        <v>7.6733333333333338</v>
      </c>
      <c r="BE131" s="482">
        <f t="shared" si="212"/>
        <v>18.717777777777776</v>
      </c>
      <c r="BF131" s="482">
        <f t="shared" si="213"/>
        <v>10.438333333333334</v>
      </c>
      <c r="BG131" s="482">
        <f t="shared" si="214"/>
        <v>21.482777777777777</v>
      </c>
    </row>
    <row r="132" spans="1:59">
      <c r="A132" s="213" t="s">
        <v>5315</v>
      </c>
      <c r="B132" s="231">
        <v>611746916</v>
      </c>
      <c r="C132" s="210" t="s">
        <v>5285</v>
      </c>
      <c r="D132" s="210">
        <v>103</v>
      </c>
      <c r="F132" s="239" t="str" cm="1">
        <f t="array" aca="1" ref="F132" ca="1">MID(met2utc(PEPSSI_Commanding[[#This Row],[MET]]),3,15)</f>
        <v>25-160/03:50:00</v>
      </c>
      <c r="G132" s="213" t="str">
        <f t="shared" si="165"/>
        <v>MAC+103</v>
      </c>
      <c r="H132" s="214">
        <f t="shared" si="166"/>
        <v>611746256</v>
      </c>
      <c r="I132" s="214">
        <f t="shared" si="167"/>
        <v>613555316</v>
      </c>
      <c r="J132" s="213">
        <f t="shared" si="168"/>
        <v>15</v>
      </c>
      <c r="K132" s="213">
        <f t="shared" si="169"/>
        <v>2</v>
      </c>
      <c r="M132" s="210">
        <f t="shared" si="170"/>
        <v>180</v>
      </c>
      <c r="N132" s="210">
        <f t="shared" si="171"/>
        <v>3</v>
      </c>
      <c r="O132" s="210">
        <f t="shared" si="172"/>
        <v>7200</v>
      </c>
      <c r="P132" s="210">
        <f t="shared" si="173"/>
        <v>1800</v>
      </c>
      <c r="Q132" s="210" t="str">
        <f t="shared" si="174"/>
        <v>disabled</v>
      </c>
      <c r="R132" s="210" t="str">
        <f t="shared" si="175"/>
        <v/>
      </c>
      <c r="S132" s="210" t="str">
        <f t="shared" si="176"/>
        <v>102</v>
      </c>
      <c r="U132" s="482">
        <f t="shared" si="177"/>
        <v>0</v>
      </c>
      <c r="V132" s="482">
        <f t="shared" si="178"/>
        <v>0</v>
      </c>
      <c r="W132" s="482">
        <f t="shared" si="179"/>
        <v>0.28444444444444444</v>
      </c>
      <c r="X132" s="482">
        <f t="shared" si="180"/>
        <v>11.044444444444444</v>
      </c>
      <c r="Y132" s="482">
        <f t="shared" si="181"/>
        <v>0</v>
      </c>
      <c r="Z132" s="482">
        <f t="shared" si="182"/>
        <v>0</v>
      </c>
      <c r="AA132" s="482">
        <f t="shared" si="183"/>
        <v>2.7650000000000001</v>
      </c>
      <c r="AB132" s="243"/>
      <c r="AC132" s="482">
        <f t="shared" si="184"/>
        <v>11.044444444444444</v>
      </c>
      <c r="AD132" s="482">
        <f t="shared" si="185"/>
        <v>2.7650000000000001</v>
      </c>
      <c r="AE132" s="482">
        <f t="shared" si="186"/>
        <v>13.809444444444445</v>
      </c>
      <c r="AF132" s="482">
        <f t="shared" si="187"/>
        <v>0</v>
      </c>
      <c r="AG132" s="482">
        <f t="shared" si="188"/>
        <v>11.044444444444444</v>
      </c>
      <c r="AH132" s="482">
        <f t="shared" si="189"/>
        <v>2.7650000000000001</v>
      </c>
      <c r="AI132" s="482">
        <f t="shared" si="190"/>
        <v>13.809444444444445</v>
      </c>
      <c r="AJ132" s="482">
        <f t="shared" si="191"/>
        <v>0</v>
      </c>
      <c r="AK132" s="482">
        <f t="shared" si="192"/>
        <v>11.044444444444444</v>
      </c>
      <c r="AL132" s="482">
        <f t="shared" si="193"/>
        <v>2.7650000000000001</v>
      </c>
      <c r="AM132" s="482">
        <f t="shared" si="194"/>
        <v>13.809444444444445</v>
      </c>
      <c r="AN132" s="482">
        <f t="shared" si="195"/>
        <v>0</v>
      </c>
      <c r="AO132" s="482">
        <f t="shared" si="196"/>
        <v>11.044444444444444</v>
      </c>
      <c r="AP132" s="482">
        <f t="shared" si="197"/>
        <v>2.7650000000000001</v>
      </c>
      <c r="AQ132" s="482">
        <f t="shared" si="198"/>
        <v>13.809444444444445</v>
      </c>
      <c r="AR132" s="482">
        <f t="shared" si="199"/>
        <v>0.28444444444444444</v>
      </c>
      <c r="AS132" s="482">
        <f t="shared" si="200"/>
        <v>11.328888888888889</v>
      </c>
      <c r="AT132" s="482">
        <f t="shared" si="201"/>
        <v>3.0494444444444446</v>
      </c>
      <c r="AU132" s="482">
        <f t="shared" si="202"/>
        <v>14.093888888888889</v>
      </c>
      <c r="AV132" s="482">
        <f t="shared" si="203"/>
        <v>0.28444444444444444</v>
      </c>
      <c r="AW132" s="482">
        <f t="shared" si="204"/>
        <v>11.328888888888889</v>
      </c>
      <c r="AX132" s="482">
        <f t="shared" si="205"/>
        <v>3.0494444444444446</v>
      </c>
      <c r="AY132" s="482">
        <f t="shared" si="206"/>
        <v>14.093888888888889</v>
      </c>
      <c r="AZ132" s="482">
        <f t="shared" si="207"/>
        <v>0.28444444444444444</v>
      </c>
      <c r="BA132" s="482">
        <f t="shared" si="208"/>
        <v>11.328888888888889</v>
      </c>
      <c r="BB132" s="482">
        <f t="shared" si="209"/>
        <v>3.0494444444444446</v>
      </c>
      <c r="BC132" s="482">
        <f t="shared" si="210"/>
        <v>14.093888888888889</v>
      </c>
      <c r="BD132" s="482">
        <f t="shared" si="211"/>
        <v>0.28444444444444444</v>
      </c>
      <c r="BE132" s="482">
        <f t="shared" si="212"/>
        <v>11.328888888888889</v>
      </c>
      <c r="BF132" s="482">
        <f t="shared" si="213"/>
        <v>3.0494444444444446</v>
      </c>
      <c r="BG132" s="482">
        <f t="shared" si="214"/>
        <v>14.093888888888889</v>
      </c>
    </row>
    <row r="133" spans="1:59">
      <c r="A133" s="213" t="s">
        <v>5315</v>
      </c>
      <c r="B133" s="231">
        <v>611747516</v>
      </c>
      <c r="C133" s="210" t="s">
        <v>5285</v>
      </c>
      <c r="D133" s="210">
        <v>110</v>
      </c>
      <c r="F133" s="239" t="str" cm="1">
        <f t="array" aca="1" ref="F133" ca="1">MID(met2utc(PEPSSI_Commanding[[#This Row],[MET]]),3,15)</f>
        <v>25-160/04:00:00</v>
      </c>
      <c r="G133" s="213" t="str">
        <f t="shared" si="165"/>
        <v>MAC+110</v>
      </c>
      <c r="H133" s="214">
        <f t="shared" si="166"/>
        <v>611746256</v>
      </c>
      <c r="I133" s="214">
        <f t="shared" si="167"/>
        <v>613555316</v>
      </c>
      <c r="J133" s="213">
        <f t="shared" si="168"/>
        <v>16</v>
      </c>
      <c r="K133" s="213">
        <f t="shared" si="169"/>
        <v>1</v>
      </c>
      <c r="M133" s="210">
        <f t="shared" si="170"/>
        <v>180</v>
      </c>
      <c r="N133" s="210">
        <f t="shared" si="171"/>
        <v>3</v>
      </c>
      <c r="O133" s="210">
        <f t="shared" si="172"/>
        <v>7200</v>
      </c>
      <c r="P133" s="210">
        <f t="shared" si="173"/>
        <v>1800</v>
      </c>
      <c r="Q133" s="210" t="str">
        <f t="shared" si="174"/>
        <v/>
      </c>
      <c r="R133" s="210">
        <f t="shared" si="175"/>
        <v>43200</v>
      </c>
      <c r="S133" s="210" t="str">
        <f t="shared" si="176"/>
        <v>102</v>
      </c>
      <c r="U133" s="482">
        <f t="shared" si="177"/>
        <v>2.9375</v>
      </c>
      <c r="V133" s="482">
        <f t="shared" si="178"/>
        <v>12.1875</v>
      </c>
      <c r="W133" s="482">
        <f t="shared" si="179"/>
        <v>0.28444444444444444</v>
      </c>
      <c r="X133" s="482">
        <f t="shared" si="180"/>
        <v>11.044444444444444</v>
      </c>
      <c r="Y133" s="482">
        <f t="shared" si="181"/>
        <v>443.33333333333331</v>
      </c>
      <c r="Z133" s="482">
        <f t="shared" si="182"/>
        <v>443.33333333333331</v>
      </c>
      <c r="AA133" s="482">
        <f t="shared" si="183"/>
        <v>2.7650000000000001</v>
      </c>
      <c r="AB133" s="243"/>
      <c r="AC133" s="482">
        <f t="shared" si="184"/>
        <v>11.044444444444444</v>
      </c>
      <c r="AD133" s="482">
        <f t="shared" si="185"/>
        <v>14.952500000000001</v>
      </c>
      <c r="AE133" s="482">
        <f t="shared" si="186"/>
        <v>25.996944444444445</v>
      </c>
      <c r="AF133" s="482">
        <f t="shared" si="187"/>
        <v>443.33333333333331</v>
      </c>
      <c r="AG133" s="482">
        <f t="shared" si="188"/>
        <v>454.37777777777774</v>
      </c>
      <c r="AH133" s="482">
        <f t="shared" si="189"/>
        <v>458.2858333333333</v>
      </c>
      <c r="AI133" s="482">
        <f t="shared" si="190"/>
        <v>469.33027777777772</v>
      </c>
      <c r="AJ133" s="482">
        <f t="shared" si="191"/>
        <v>2.9375</v>
      </c>
      <c r="AK133" s="482">
        <f t="shared" si="192"/>
        <v>13.981944444444444</v>
      </c>
      <c r="AL133" s="482">
        <f t="shared" si="193"/>
        <v>17.89</v>
      </c>
      <c r="AM133" s="482">
        <f t="shared" si="194"/>
        <v>28.934444444444445</v>
      </c>
      <c r="AN133" s="482">
        <f t="shared" si="195"/>
        <v>446.27083333333331</v>
      </c>
      <c r="AO133" s="482">
        <f t="shared" si="196"/>
        <v>457.31527777777774</v>
      </c>
      <c r="AP133" s="482">
        <f t="shared" si="197"/>
        <v>461.2233333333333</v>
      </c>
      <c r="AQ133" s="482">
        <f t="shared" si="198"/>
        <v>472.26777777777772</v>
      </c>
      <c r="AR133" s="482">
        <f t="shared" si="199"/>
        <v>0.28444444444444444</v>
      </c>
      <c r="AS133" s="482">
        <f t="shared" si="200"/>
        <v>11.328888888888889</v>
      </c>
      <c r="AT133" s="482">
        <f t="shared" si="201"/>
        <v>15.236944444444445</v>
      </c>
      <c r="AU133" s="482">
        <f t="shared" si="202"/>
        <v>26.281388888888891</v>
      </c>
      <c r="AV133" s="482">
        <f t="shared" si="203"/>
        <v>443.61777777777775</v>
      </c>
      <c r="AW133" s="482">
        <f t="shared" si="204"/>
        <v>454.66222222222217</v>
      </c>
      <c r="AX133" s="482">
        <f t="shared" si="205"/>
        <v>458.57027777777773</v>
      </c>
      <c r="AY133" s="482">
        <f t="shared" si="206"/>
        <v>469.61472222222216</v>
      </c>
      <c r="AZ133" s="482">
        <f t="shared" si="207"/>
        <v>3.2219444444444445</v>
      </c>
      <c r="BA133" s="482">
        <f t="shared" si="208"/>
        <v>14.266388888888889</v>
      </c>
      <c r="BB133" s="482">
        <f t="shared" si="209"/>
        <v>18.174444444444447</v>
      </c>
      <c r="BC133" s="482">
        <f t="shared" si="210"/>
        <v>29.218888888888891</v>
      </c>
      <c r="BD133" s="482">
        <f t="shared" si="211"/>
        <v>446.55527777777775</v>
      </c>
      <c r="BE133" s="482">
        <f t="shared" si="212"/>
        <v>457.59972222222217</v>
      </c>
      <c r="BF133" s="482">
        <f t="shared" si="213"/>
        <v>461.50777777777773</v>
      </c>
      <c r="BG133" s="482">
        <f t="shared" si="214"/>
        <v>472.55222222222216</v>
      </c>
    </row>
    <row r="134" spans="1:59">
      <c r="A134" s="213" t="s">
        <v>5315</v>
      </c>
      <c r="B134" s="231">
        <v>613555316</v>
      </c>
      <c r="C134" s="210" t="s">
        <v>5285</v>
      </c>
      <c r="D134" s="210">
        <v>111</v>
      </c>
      <c r="F134" s="239" t="str" cm="1">
        <f t="array" aca="1" ref="F134" ca="1">MID(met2utc(PEPSSI_Commanding[[#This Row],[MET]]),3,15)</f>
        <v>25-181/02:10:00</v>
      </c>
      <c r="G134" s="213" t="str">
        <f t="shared" si="165"/>
        <v>MAC+111</v>
      </c>
      <c r="H134" s="214">
        <f t="shared" si="166"/>
        <v>613555316</v>
      </c>
      <c r="I134" s="214">
        <f t="shared" si="167"/>
        <v>615857156</v>
      </c>
      <c r="J134" s="213">
        <f t="shared" si="168"/>
        <v>17</v>
      </c>
      <c r="K134" s="213">
        <f t="shared" si="169"/>
        <v>1</v>
      </c>
      <c r="M134" s="210">
        <f t="shared" si="170"/>
        <v>180</v>
      </c>
      <c r="N134" s="210">
        <f t="shared" si="171"/>
        <v>3</v>
      </c>
      <c r="O134" s="210">
        <f t="shared" si="172"/>
        <v>7200</v>
      </c>
      <c r="P134" s="210">
        <f t="shared" si="173"/>
        <v>1800</v>
      </c>
      <c r="Q134" s="210" t="str">
        <f t="shared" si="174"/>
        <v>disabled</v>
      </c>
      <c r="R134" s="210" t="str">
        <f t="shared" si="175"/>
        <v/>
      </c>
      <c r="S134" s="210" t="str">
        <f t="shared" si="176"/>
        <v>102</v>
      </c>
      <c r="U134" s="482">
        <f t="shared" si="177"/>
        <v>0</v>
      </c>
      <c r="V134" s="482">
        <f>IF(OR($N134="",$R134=""),0,V$1/64/$N134)</f>
        <v>0</v>
      </c>
      <c r="W134" s="482">
        <f t="shared" si="179"/>
        <v>0.28444444444444444</v>
      </c>
      <c r="X134" s="482">
        <f t="shared" si="180"/>
        <v>11.044444444444444</v>
      </c>
      <c r="Y134" s="482">
        <f t="shared" si="181"/>
        <v>0</v>
      </c>
      <c r="Z134" s="482">
        <f t="shared" si="182"/>
        <v>0</v>
      </c>
      <c r="AA134" s="482">
        <f t="shared" si="183"/>
        <v>2.7650000000000001</v>
      </c>
      <c r="AB134" s="243"/>
      <c r="AC134" s="482">
        <f t="shared" si="184"/>
        <v>11.044444444444444</v>
      </c>
      <c r="AD134" s="482">
        <f t="shared" si="185"/>
        <v>2.7650000000000001</v>
      </c>
      <c r="AE134" s="482">
        <f t="shared" si="186"/>
        <v>13.809444444444445</v>
      </c>
      <c r="AF134" s="482">
        <f t="shared" si="187"/>
        <v>0</v>
      </c>
      <c r="AG134" s="482">
        <f t="shared" si="188"/>
        <v>11.044444444444444</v>
      </c>
      <c r="AH134" s="482">
        <f t="shared" si="189"/>
        <v>2.7650000000000001</v>
      </c>
      <c r="AI134" s="482">
        <f t="shared" si="190"/>
        <v>13.809444444444445</v>
      </c>
      <c r="AJ134" s="482">
        <f t="shared" si="191"/>
        <v>0</v>
      </c>
      <c r="AK134" s="482">
        <f t="shared" si="192"/>
        <v>11.044444444444444</v>
      </c>
      <c r="AL134" s="482">
        <f t="shared" si="193"/>
        <v>2.7650000000000001</v>
      </c>
      <c r="AM134" s="482">
        <f t="shared" si="194"/>
        <v>13.809444444444445</v>
      </c>
      <c r="AN134" s="482">
        <f t="shared" si="195"/>
        <v>0</v>
      </c>
      <c r="AO134" s="482">
        <f t="shared" si="196"/>
        <v>11.044444444444444</v>
      </c>
      <c r="AP134" s="482">
        <f t="shared" si="197"/>
        <v>2.7650000000000001</v>
      </c>
      <c r="AQ134" s="482">
        <f t="shared" si="198"/>
        <v>13.809444444444445</v>
      </c>
      <c r="AR134" s="482">
        <f t="shared" si="199"/>
        <v>0.28444444444444444</v>
      </c>
      <c r="AS134" s="482">
        <f t="shared" si="200"/>
        <v>11.328888888888889</v>
      </c>
      <c r="AT134" s="482">
        <f t="shared" si="201"/>
        <v>3.0494444444444446</v>
      </c>
      <c r="AU134" s="482">
        <f t="shared" si="202"/>
        <v>14.093888888888889</v>
      </c>
      <c r="AV134" s="482">
        <f t="shared" si="203"/>
        <v>0.28444444444444444</v>
      </c>
      <c r="AW134" s="482">
        <f t="shared" si="204"/>
        <v>11.328888888888889</v>
      </c>
      <c r="AX134" s="482">
        <f t="shared" si="205"/>
        <v>3.0494444444444446</v>
      </c>
      <c r="AY134" s="482">
        <f t="shared" si="206"/>
        <v>14.093888888888889</v>
      </c>
      <c r="AZ134" s="482">
        <f t="shared" si="207"/>
        <v>0.28444444444444444</v>
      </c>
      <c r="BA134" s="482">
        <f t="shared" si="208"/>
        <v>11.328888888888889</v>
      </c>
      <c r="BB134" s="482">
        <f t="shared" si="209"/>
        <v>3.0494444444444446</v>
      </c>
      <c r="BC134" s="482">
        <f t="shared" si="210"/>
        <v>14.093888888888889</v>
      </c>
      <c r="BD134" s="482">
        <f t="shared" si="211"/>
        <v>0.28444444444444444</v>
      </c>
      <c r="BE134" s="482">
        <f t="shared" si="212"/>
        <v>11.328888888888889</v>
      </c>
      <c r="BF134" s="482">
        <f t="shared" si="213"/>
        <v>3.0494444444444446</v>
      </c>
      <c r="BG134" s="482">
        <f t="shared" si="214"/>
        <v>14.093888888888889</v>
      </c>
    </row>
    <row r="135" spans="1:59">
      <c r="A135" s="213" t="s">
        <v>5316</v>
      </c>
      <c r="B135" s="231">
        <v>615857156</v>
      </c>
      <c r="C135" s="210" t="s">
        <v>61</v>
      </c>
      <c r="D135" s="210">
        <v>360</v>
      </c>
      <c r="F135" s="239" t="str" cm="1">
        <f t="array" aca="1" ref="F135" ca="1">MID(met2utc(PEPSSI_Commanding[[#This Row],[MET]]),3,15)</f>
        <v>25-207/17:34:00</v>
      </c>
      <c r="G135" s="213" t="str">
        <f t="shared" si="165"/>
        <v>N2+360</v>
      </c>
      <c r="H135" s="214">
        <f t="shared" si="166"/>
        <v>615857156</v>
      </c>
      <c r="I135" s="214">
        <f t="shared" si="167"/>
        <v>616807206</v>
      </c>
      <c r="J135" s="213">
        <f t="shared" si="168"/>
        <v>18</v>
      </c>
      <c r="K135" s="213">
        <f t="shared" si="169"/>
        <v>6</v>
      </c>
      <c r="M135" s="210">
        <f t="shared" si="170"/>
        <v>180</v>
      </c>
      <c r="N135" s="210">
        <f t="shared" si="171"/>
        <v>360</v>
      </c>
      <c r="O135" s="210">
        <f t="shared" si="172"/>
        <v>7200</v>
      </c>
      <c r="P135" s="210">
        <f t="shared" si="173"/>
        <v>1800</v>
      </c>
      <c r="Q135" s="210" t="str">
        <f t="shared" si="174"/>
        <v>disabled</v>
      </c>
      <c r="R135" s="210" t="str">
        <f t="shared" si="175"/>
        <v/>
      </c>
      <c r="S135" s="210" t="str">
        <f t="shared" si="176"/>
        <v>102</v>
      </c>
      <c r="U135" s="482">
        <f t="shared" si="177"/>
        <v>0</v>
      </c>
      <c r="V135" s="482">
        <f t="shared" si="178"/>
        <v>0</v>
      </c>
      <c r="W135" s="482">
        <f t="shared" si="179"/>
        <v>0.28444444444444444</v>
      </c>
      <c r="X135" s="482">
        <f t="shared" si="180"/>
        <v>11.044444444444444</v>
      </c>
      <c r="Y135" s="482">
        <f t="shared" si="181"/>
        <v>0</v>
      </c>
      <c r="Z135" s="482">
        <f t="shared" si="182"/>
        <v>0</v>
      </c>
      <c r="AA135" s="482">
        <f t="shared" si="183"/>
        <v>2.7650000000000001</v>
      </c>
      <c r="AB135" s="243"/>
      <c r="AC135" s="482">
        <f t="shared" si="184"/>
        <v>11.044444444444444</v>
      </c>
      <c r="AD135" s="482">
        <f t="shared" si="185"/>
        <v>2.7650000000000001</v>
      </c>
      <c r="AE135" s="482">
        <f t="shared" si="186"/>
        <v>13.809444444444445</v>
      </c>
      <c r="AF135" s="482">
        <f t="shared" si="187"/>
        <v>0</v>
      </c>
      <c r="AG135" s="482">
        <f t="shared" si="188"/>
        <v>11.044444444444444</v>
      </c>
      <c r="AH135" s="482">
        <f t="shared" si="189"/>
        <v>2.7650000000000001</v>
      </c>
      <c r="AI135" s="482">
        <f t="shared" si="190"/>
        <v>13.809444444444445</v>
      </c>
      <c r="AJ135" s="482">
        <f t="shared" si="191"/>
        <v>0</v>
      </c>
      <c r="AK135" s="482">
        <f t="shared" si="192"/>
        <v>11.044444444444444</v>
      </c>
      <c r="AL135" s="482">
        <f t="shared" si="193"/>
        <v>2.7650000000000001</v>
      </c>
      <c r="AM135" s="482">
        <f t="shared" si="194"/>
        <v>13.809444444444445</v>
      </c>
      <c r="AN135" s="482">
        <f t="shared" si="195"/>
        <v>0</v>
      </c>
      <c r="AO135" s="482">
        <f t="shared" si="196"/>
        <v>11.044444444444444</v>
      </c>
      <c r="AP135" s="482">
        <f t="shared" si="197"/>
        <v>2.7650000000000001</v>
      </c>
      <c r="AQ135" s="482">
        <f t="shared" si="198"/>
        <v>13.809444444444445</v>
      </c>
      <c r="AR135" s="482">
        <f t="shared" si="199"/>
        <v>0.28444444444444444</v>
      </c>
      <c r="AS135" s="482">
        <f t="shared" si="200"/>
        <v>11.328888888888889</v>
      </c>
      <c r="AT135" s="482">
        <f t="shared" si="201"/>
        <v>3.0494444444444446</v>
      </c>
      <c r="AU135" s="482">
        <f t="shared" si="202"/>
        <v>14.093888888888889</v>
      </c>
      <c r="AV135" s="482">
        <f t="shared" si="203"/>
        <v>0.28444444444444444</v>
      </c>
      <c r="AW135" s="482">
        <f t="shared" si="204"/>
        <v>11.328888888888889</v>
      </c>
      <c r="AX135" s="482">
        <f t="shared" si="205"/>
        <v>3.0494444444444446</v>
      </c>
      <c r="AY135" s="482">
        <f t="shared" si="206"/>
        <v>14.093888888888889</v>
      </c>
      <c r="AZ135" s="482">
        <f t="shared" si="207"/>
        <v>0.28444444444444444</v>
      </c>
      <c r="BA135" s="482">
        <f t="shared" si="208"/>
        <v>11.328888888888889</v>
      </c>
      <c r="BB135" s="482">
        <f t="shared" si="209"/>
        <v>3.0494444444444446</v>
      </c>
      <c r="BC135" s="482">
        <f t="shared" si="210"/>
        <v>14.093888888888889</v>
      </c>
      <c r="BD135" s="482">
        <f t="shared" si="211"/>
        <v>0.28444444444444444</v>
      </c>
      <c r="BE135" s="482">
        <f t="shared" si="212"/>
        <v>11.328888888888889</v>
      </c>
      <c r="BF135" s="482">
        <f t="shared" si="213"/>
        <v>3.0494444444444446</v>
      </c>
      <c r="BG135" s="482">
        <f t="shared" si="214"/>
        <v>14.093888888888889</v>
      </c>
    </row>
    <row r="136" spans="1:59">
      <c r="A136" s="213" t="s">
        <v>5316</v>
      </c>
      <c r="B136" s="231">
        <v>615857159</v>
      </c>
      <c r="C136" s="210" t="s">
        <v>1</v>
      </c>
      <c r="D136" s="210">
        <v>360</v>
      </c>
      <c r="F136" s="239" t="str" cm="1">
        <f t="array" aca="1" ref="F136" ca="1">MID(met2utc(PEPSSI_Commanding[[#This Row],[MET]]),3,15)</f>
        <v>25-207/17:34:03</v>
      </c>
      <c r="G136" s="213" t="str">
        <f t="shared" si="165"/>
        <v>N1+360</v>
      </c>
      <c r="H136" s="214">
        <f t="shared" si="166"/>
        <v>615857156</v>
      </c>
      <c r="I136" s="214">
        <f t="shared" si="167"/>
        <v>616807206</v>
      </c>
      <c r="J136" s="213">
        <f t="shared" si="168"/>
        <v>19</v>
      </c>
      <c r="K136" s="213">
        <f t="shared" si="169"/>
        <v>5</v>
      </c>
      <c r="M136" s="210">
        <f t="shared" si="170"/>
        <v>360</v>
      </c>
      <c r="N136" s="210">
        <f t="shared" si="171"/>
        <v>360</v>
      </c>
      <c r="O136" s="210">
        <f t="shared" si="172"/>
        <v>7200</v>
      </c>
      <c r="P136" s="210">
        <f t="shared" si="173"/>
        <v>1800</v>
      </c>
      <c r="Q136" s="210" t="str">
        <f t="shared" si="174"/>
        <v>disabled</v>
      </c>
      <c r="R136" s="210" t="str">
        <f t="shared" si="175"/>
        <v/>
      </c>
      <c r="S136" s="210" t="str">
        <f t="shared" si="176"/>
        <v>102</v>
      </c>
      <c r="U136" s="482">
        <f t="shared" si="177"/>
        <v>0</v>
      </c>
      <c r="V136" s="482">
        <f t="shared" si="178"/>
        <v>0</v>
      </c>
      <c r="W136" s="482">
        <f t="shared" si="179"/>
        <v>0.28444444444444444</v>
      </c>
      <c r="X136" s="482">
        <f t="shared" si="180"/>
        <v>5.5222222222222221</v>
      </c>
      <c r="Y136" s="482">
        <f t="shared" si="181"/>
        <v>0</v>
      </c>
      <c r="Z136" s="482">
        <f t="shared" si="182"/>
        <v>0</v>
      </c>
      <c r="AA136" s="482">
        <f t="shared" si="183"/>
        <v>2.7650000000000001</v>
      </c>
      <c r="AB136" s="243"/>
      <c r="AC136" s="482">
        <f t="shared" si="184"/>
        <v>5.5222222222222221</v>
      </c>
      <c r="AD136" s="482">
        <f t="shared" si="185"/>
        <v>2.7650000000000001</v>
      </c>
      <c r="AE136" s="482">
        <f t="shared" si="186"/>
        <v>8.2872222222222227</v>
      </c>
      <c r="AF136" s="482">
        <f t="shared" si="187"/>
        <v>0</v>
      </c>
      <c r="AG136" s="482">
        <f t="shared" si="188"/>
        <v>5.5222222222222221</v>
      </c>
      <c r="AH136" s="482">
        <f t="shared" si="189"/>
        <v>2.7650000000000001</v>
      </c>
      <c r="AI136" s="482">
        <f t="shared" si="190"/>
        <v>8.2872222222222227</v>
      </c>
      <c r="AJ136" s="482">
        <f t="shared" si="191"/>
        <v>0</v>
      </c>
      <c r="AK136" s="482">
        <f t="shared" si="192"/>
        <v>5.5222222222222221</v>
      </c>
      <c r="AL136" s="482">
        <f t="shared" si="193"/>
        <v>2.7650000000000001</v>
      </c>
      <c r="AM136" s="482">
        <f t="shared" si="194"/>
        <v>8.2872222222222227</v>
      </c>
      <c r="AN136" s="482">
        <f t="shared" si="195"/>
        <v>0</v>
      </c>
      <c r="AO136" s="482">
        <f t="shared" si="196"/>
        <v>5.5222222222222221</v>
      </c>
      <c r="AP136" s="482">
        <f t="shared" si="197"/>
        <v>2.7650000000000001</v>
      </c>
      <c r="AQ136" s="482">
        <f t="shared" si="198"/>
        <v>8.2872222222222227</v>
      </c>
      <c r="AR136" s="482">
        <f t="shared" si="199"/>
        <v>0.28444444444444444</v>
      </c>
      <c r="AS136" s="482">
        <f t="shared" si="200"/>
        <v>5.8066666666666666</v>
      </c>
      <c r="AT136" s="482">
        <f t="shared" si="201"/>
        <v>3.0494444444444446</v>
      </c>
      <c r="AU136" s="482">
        <f t="shared" si="202"/>
        <v>8.5716666666666672</v>
      </c>
      <c r="AV136" s="482">
        <f t="shared" si="203"/>
        <v>0.28444444444444444</v>
      </c>
      <c r="AW136" s="482">
        <f t="shared" si="204"/>
        <v>5.8066666666666666</v>
      </c>
      <c r="AX136" s="482">
        <f t="shared" si="205"/>
        <v>3.0494444444444446</v>
      </c>
      <c r="AY136" s="482">
        <f t="shared" si="206"/>
        <v>8.5716666666666672</v>
      </c>
      <c r="AZ136" s="482">
        <f t="shared" si="207"/>
        <v>0.28444444444444444</v>
      </c>
      <c r="BA136" s="482">
        <f t="shared" si="208"/>
        <v>5.8066666666666666</v>
      </c>
      <c r="BB136" s="482">
        <f t="shared" si="209"/>
        <v>3.0494444444444446</v>
      </c>
      <c r="BC136" s="482">
        <f t="shared" si="210"/>
        <v>8.5716666666666672</v>
      </c>
      <c r="BD136" s="482">
        <f t="shared" si="211"/>
        <v>0.28444444444444444</v>
      </c>
      <c r="BE136" s="482">
        <f t="shared" si="212"/>
        <v>5.8066666666666666</v>
      </c>
      <c r="BF136" s="482">
        <f t="shared" si="213"/>
        <v>3.0494444444444446</v>
      </c>
      <c r="BG136" s="482">
        <f t="shared" si="214"/>
        <v>8.5716666666666672</v>
      </c>
    </row>
    <row r="137" spans="1:59">
      <c r="A137" s="213" t="s">
        <v>5316</v>
      </c>
      <c r="B137" s="231">
        <v>615857162</v>
      </c>
      <c r="C137" s="210" t="s">
        <v>58</v>
      </c>
      <c r="D137" s="210">
        <v>900</v>
      </c>
      <c r="F137" s="239" t="str" cm="1">
        <f t="array" aca="1" ref="F137" ca="1">MID(met2utc(PEPSSI_Commanding[[#This Row],[MET]]),3,15)</f>
        <v>25-207/17:34:06</v>
      </c>
      <c r="G137" s="213" t="str">
        <f t="shared" si="165"/>
        <v>N3+900</v>
      </c>
      <c r="H137" s="214">
        <f t="shared" si="166"/>
        <v>615857156</v>
      </c>
      <c r="I137" s="214">
        <f t="shared" si="167"/>
        <v>616807206</v>
      </c>
      <c r="J137" s="213">
        <f t="shared" si="168"/>
        <v>20</v>
      </c>
      <c r="K137" s="213">
        <f t="shared" si="169"/>
        <v>4</v>
      </c>
      <c r="M137" s="210">
        <f t="shared" si="170"/>
        <v>360</v>
      </c>
      <c r="N137" s="210">
        <f t="shared" si="171"/>
        <v>360</v>
      </c>
      <c r="O137" s="210">
        <f t="shared" si="172"/>
        <v>900</v>
      </c>
      <c r="P137" s="210">
        <f t="shared" si="173"/>
        <v>1800</v>
      </c>
      <c r="Q137" s="210" t="str">
        <f t="shared" si="174"/>
        <v>disabled</v>
      </c>
      <c r="R137" s="210" t="str">
        <f t="shared" si="175"/>
        <v/>
      </c>
      <c r="S137" s="210" t="str">
        <f t="shared" si="176"/>
        <v>102</v>
      </c>
      <c r="U137" s="482">
        <f t="shared" si="177"/>
        <v>0</v>
      </c>
      <c r="V137" s="482">
        <f t="shared" si="178"/>
        <v>0</v>
      </c>
      <c r="W137" s="482">
        <f t="shared" si="179"/>
        <v>0.28444444444444444</v>
      </c>
      <c r="X137" s="482">
        <f t="shared" si="180"/>
        <v>5.5222222222222221</v>
      </c>
      <c r="Y137" s="482">
        <f t="shared" si="181"/>
        <v>0</v>
      </c>
      <c r="Z137" s="482">
        <f t="shared" si="182"/>
        <v>0</v>
      </c>
      <c r="AA137" s="482">
        <f t="shared" si="183"/>
        <v>22.12</v>
      </c>
      <c r="AB137" s="243"/>
      <c r="AC137" s="482">
        <f t="shared" si="184"/>
        <v>5.5222222222222221</v>
      </c>
      <c r="AD137" s="482">
        <f t="shared" si="185"/>
        <v>22.12</v>
      </c>
      <c r="AE137" s="482">
        <f t="shared" si="186"/>
        <v>27.642222222222223</v>
      </c>
      <c r="AF137" s="482">
        <f t="shared" si="187"/>
        <v>0</v>
      </c>
      <c r="AG137" s="482">
        <f t="shared" si="188"/>
        <v>5.5222222222222221</v>
      </c>
      <c r="AH137" s="482">
        <f t="shared" si="189"/>
        <v>22.12</v>
      </c>
      <c r="AI137" s="482">
        <f t="shared" si="190"/>
        <v>27.642222222222223</v>
      </c>
      <c r="AJ137" s="482">
        <f t="shared" si="191"/>
        <v>0</v>
      </c>
      <c r="AK137" s="482">
        <f t="shared" si="192"/>
        <v>5.5222222222222221</v>
      </c>
      <c r="AL137" s="482">
        <f t="shared" si="193"/>
        <v>22.12</v>
      </c>
      <c r="AM137" s="482">
        <f t="shared" si="194"/>
        <v>27.642222222222223</v>
      </c>
      <c r="AN137" s="482">
        <f t="shared" si="195"/>
        <v>0</v>
      </c>
      <c r="AO137" s="482">
        <f t="shared" si="196"/>
        <v>5.5222222222222221</v>
      </c>
      <c r="AP137" s="482">
        <f t="shared" si="197"/>
        <v>22.12</v>
      </c>
      <c r="AQ137" s="482">
        <f t="shared" si="198"/>
        <v>27.642222222222223</v>
      </c>
      <c r="AR137" s="482">
        <f t="shared" si="199"/>
        <v>0.28444444444444444</v>
      </c>
      <c r="AS137" s="482">
        <f t="shared" si="200"/>
        <v>5.8066666666666666</v>
      </c>
      <c r="AT137" s="482">
        <f t="shared" si="201"/>
        <v>22.404444444444444</v>
      </c>
      <c r="AU137" s="482">
        <f t="shared" si="202"/>
        <v>27.926666666666666</v>
      </c>
      <c r="AV137" s="482">
        <f t="shared" si="203"/>
        <v>0.28444444444444444</v>
      </c>
      <c r="AW137" s="482">
        <f t="shared" si="204"/>
        <v>5.8066666666666666</v>
      </c>
      <c r="AX137" s="482">
        <f t="shared" si="205"/>
        <v>22.404444444444444</v>
      </c>
      <c r="AY137" s="482">
        <f t="shared" si="206"/>
        <v>27.926666666666666</v>
      </c>
      <c r="AZ137" s="482">
        <f t="shared" si="207"/>
        <v>0.28444444444444444</v>
      </c>
      <c r="BA137" s="482">
        <f t="shared" si="208"/>
        <v>5.8066666666666666</v>
      </c>
      <c r="BB137" s="482">
        <f t="shared" si="209"/>
        <v>22.404444444444444</v>
      </c>
      <c r="BC137" s="482">
        <f t="shared" si="210"/>
        <v>27.926666666666666</v>
      </c>
      <c r="BD137" s="482">
        <f t="shared" si="211"/>
        <v>0.28444444444444444</v>
      </c>
      <c r="BE137" s="482">
        <f t="shared" si="212"/>
        <v>5.8066666666666666</v>
      </c>
      <c r="BF137" s="482">
        <f t="shared" si="213"/>
        <v>22.404444444444444</v>
      </c>
      <c r="BG137" s="482">
        <f t="shared" si="214"/>
        <v>27.926666666666666</v>
      </c>
    </row>
    <row r="138" spans="1:59">
      <c r="A138" s="213" t="s">
        <v>5317</v>
      </c>
      <c r="B138" s="231">
        <v>615857165</v>
      </c>
      <c r="C138" s="210" t="s">
        <v>5284</v>
      </c>
      <c r="D138" s="210">
        <v>1800</v>
      </c>
      <c r="F138" s="239" t="str" cm="1">
        <f t="array" aca="1" ref="F138" ca="1">MID(met2utc(PEPSSI_Commanding[[#This Row],[MET]]),3,15)</f>
        <v>25-207/17:34:09</v>
      </c>
      <c r="G138" s="213" t="str">
        <f t="shared" si="165"/>
        <v>STAT+1800</v>
      </c>
      <c r="H138" s="214">
        <f t="shared" si="166"/>
        <v>615857156</v>
      </c>
      <c r="I138" s="214">
        <f t="shared" si="167"/>
        <v>616807206</v>
      </c>
      <c r="J138" s="213">
        <f t="shared" si="168"/>
        <v>21</v>
      </c>
      <c r="K138" s="213">
        <f t="shared" si="169"/>
        <v>3</v>
      </c>
      <c r="M138" s="210">
        <f t="shared" si="170"/>
        <v>360</v>
      </c>
      <c r="N138" s="210">
        <f t="shared" si="171"/>
        <v>360</v>
      </c>
      <c r="O138" s="210">
        <f t="shared" si="172"/>
        <v>900</v>
      </c>
      <c r="P138" s="210">
        <f t="shared" si="173"/>
        <v>1800</v>
      </c>
      <c r="Q138" s="210" t="str">
        <f t="shared" si="174"/>
        <v>disabled</v>
      </c>
      <c r="R138" s="210" t="str">
        <f t="shared" si="175"/>
        <v/>
      </c>
      <c r="S138" s="210" t="str">
        <f t="shared" si="176"/>
        <v>102</v>
      </c>
      <c r="U138" s="482">
        <f t="shared" si="177"/>
        <v>0</v>
      </c>
      <c r="V138" s="482">
        <f t="shared" si="178"/>
        <v>0</v>
      </c>
      <c r="W138" s="482">
        <f t="shared" si="179"/>
        <v>0.28444444444444444</v>
      </c>
      <c r="X138" s="482">
        <f t="shared" si="180"/>
        <v>5.5222222222222221</v>
      </c>
      <c r="Y138" s="482">
        <f t="shared" si="181"/>
        <v>0</v>
      </c>
      <c r="Z138" s="482">
        <f t="shared" si="182"/>
        <v>0</v>
      </c>
      <c r="AA138" s="482">
        <f t="shared" si="183"/>
        <v>22.12</v>
      </c>
      <c r="AB138" s="243"/>
      <c r="AC138" s="482">
        <f t="shared" si="184"/>
        <v>5.5222222222222221</v>
      </c>
      <c r="AD138" s="482">
        <f t="shared" si="185"/>
        <v>22.12</v>
      </c>
      <c r="AE138" s="482">
        <f t="shared" si="186"/>
        <v>27.642222222222223</v>
      </c>
      <c r="AF138" s="482">
        <f t="shared" si="187"/>
        <v>0</v>
      </c>
      <c r="AG138" s="482">
        <f t="shared" si="188"/>
        <v>5.5222222222222221</v>
      </c>
      <c r="AH138" s="482">
        <f t="shared" si="189"/>
        <v>22.12</v>
      </c>
      <c r="AI138" s="482">
        <f t="shared" si="190"/>
        <v>27.642222222222223</v>
      </c>
      <c r="AJ138" s="482">
        <f t="shared" si="191"/>
        <v>0</v>
      </c>
      <c r="AK138" s="482">
        <f t="shared" si="192"/>
        <v>5.5222222222222221</v>
      </c>
      <c r="AL138" s="482">
        <f t="shared" si="193"/>
        <v>22.12</v>
      </c>
      <c r="AM138" s="482">
        <f t="shared" si="194"/>
        <v>27.642222222222223</v>
      </c>
      <c r="AN138" s="482">
        <f t="shared" si="195"/>
        <v>0</v>
      </c>
      <c r="AO138" s="482">
        <f t="shared" si="196"/>
        <v>5.5222222222222221</v>
      </c>
      <c r="AP138" s="482">
        <f t="shared" si="197"/>
        <v>22.12</v>
      </c>
      <c r="AQ138" s="482">
        <f t="shared" si="198"/>
        <v>27.642222222222223</v>
      </c>
      <c r="AR138" s="482">
        <f t="shared" si="199"/>
        <v>0.28444444444444444</v>
      </c>
      <c r="AS138" s="482">
        <f t="shared" si="200"/>
        <v>5.8066666666666666</v>
      </c>
      <c r="AT138" s="482">
        <f t="shared" si="201"/>
        <v>22.404444444444444</v>
      </c>
      <c r="AU138" s="482">
        <f t="shared" si="202"/>
        <v>27.926666666666666</v>
      </c>
      <c r="AV138" s="482">
        <f t="shared" si="203"/>
        <v>0.28444444444444444</v>
      </c>
      <c r="AW138" s="482">
        <f t="shared" si="204"/>
        <v>5.8066666666666666</v>
      </c>
      <c r="AX138" s="482">
        <f t="shared" si="205"/>
        <v>22.404444444444444</v>
      </c>
      <c r="AY138" s="482">
        <f t="shared" si="206"/>
        <v>27.926666666666666</v>
      </c>
      <c r="AZ138" s="482">
        <f t="shared" si="207"/>
        <v>0.28444444444444444</v>
      </c>
      <c r="BA138" s="482">
        <f t="shared" si="208"/>
        <v>5.8066666666666666</v>
      </c>
      <c r="BB138" s="482">
        <f t="shared" si="209"/>
        <v>22.404444444444444</v>
      </c>
      <c r="BC138" s="482">
        <f t="shared" si="210"/>
        <v>27.926666666666666</v>
      </c>
      <c r="BD138" s="482">
        <f t="shared" si="211"/>
        <v>0.28444444444444444</v>
      </c>
      <c r="BE138" s="482">
        <f t="shared" si="212"/>
        <v>5.8066666666666666</v>
      </c>
      <c r="BF138" s="482">
        <f t="shared" si="213"/>
        <v>22.404444444444444</v>
      </c>
      <c r="BG138" s="482">
        <f t="shared" si="214"/>
        <v>27.926666666666666</v>
      </c>
    </row>
    <row r="139" spans="1:59">
      <c r="A139" s="213" t="s">
        <v>5315</v>
      </c>
      <c r="B139" s="231">
        <v>615857756</v>
      </c>
      <c r="C139" s="210" t="s">
        <v>5285</v>
      </c>
      <c r="D139" s="210">
        <v>104</v>
      </c>
      <c r="F139" s="239" t="str" cm="1">
        <f t="array" aca="1" ref="F139" ca="1">MID(met2utc(PEPSSI_Commanding[[#This Row],[MET]]),3,15)</f>
        <v>25-207/17:44:00</v>
      </c>
      <c r="G139" s="213" t="str">
        <f t="shared" si="165"/>
        <v>MAC+104</v>
      </c>
      <c r="H139" s="214">
        <f t="shared" si="166"/>
        <v>615857156</v>
      </c>
      <c r="I139" s="214">
        <f t="shared" si="167"/>
        <v>616807206</v>
      </c>
      <c r="J139" s="213">
        <f t="shared" si="168"/>
        <v>22</v>
      </c>
      <c r="K139" s="213">
        <f t="shared" si="169"/>
        <v>2</v>
      </c>
      <c r="M139" s="210">
        <f t="shared" si="170"/>
        <v>360</v>
      </c>
      <c r="N139" s="210">
        <f t="shared" si="171"/>
        <v>2</v>
      </c>
      <c r="O139" s="210">
        <f t="shared" si="172"/>
        <v>900</v>
      </c>
      <c r="P139" s="210">
        <f t="shared" si="173"/>
        <v>1800</v>
      </c>
      <c r="Q139" s="210" t="str">
        <f t="shared" si="174"/>
        <v>disabled</v>
      </c>
      <c r="R139" s="210" t="str">
        <f t="shared" si="175"/>
        <v/>
      </c>
      <c r="S139" s="210" t="str">
        <f t="shared" si="176"/>
        <v>102</v>
      </c>
      <c r="U139" s="482">
        <f t="shared" si="177"/>
        <v>0</v>
      </c>
      <c r="V139" s="482">
        <f t="shared" si="178"/>
        <v>0</v>
      </c>
      <c r="W139" s="482">
        <f t="shared" si="179"/>
        <v>0.28444444444444444</v>
      </c>
      <c r="X139" s="482">
        <f t="shared" si="180"/>
        <v>5.5222222222222221</v>
      </c>
      <c r="Y139" s="482">
        <f t="shared" si="181"/>
        <v>0</v>
      </c>
      <c r="Z139" s="482">
        <f t="shared" si="182"/>
        <v>0</v>
      </c>
      <c r="AA139" s="482">
        <f t="shared" si="183"/>
        <v>22.12</v>
      </c>
      <c r="AB139" s="243"/>
      <c r="AC139" s="482">
        <f t="shared" si="184"/>
        <v>5.5222222222222221</v>
      </c>
      <c r="AD139" s="482">
        <f t="shared" si="185"/>
        <v>22.12</v>
      </c>
      <c r="AE139" s="482">
        <f t="shared" si="186"/>
        <v>27.642222222222223</v>
      </c>
      <c r="AF139" s="482">
        <f t="shared" si="187"/>
        <v>0</v>
      </c>
      <c r="AG139" s="482">
        <f t="shared" si="188"/>
        <v>5.5222222222222221</v>
      </c>
      <c r="AH139" s="482">
        <f t="shared" si="189"/>
        <v>22.12</v>
      </c>
      <c r="AI139" s="482">
        <f t="shared" si="190"/>
        <v>27.642222222222223</v>
      </c>
      <c r="AJ139" s="482">
        <f t="shared" si="191"/>
        <v>0</v>
      </c>
      <c r="AK139" s="482">
        <f t="shared" si="192"/>
        <v>5.5222222222222221</v>
      </c>
      <c r="AL139" s="482">
        <f t="shared" si="193"/>
        <v>22.12</v>
      </c>
      <c r="AM139" s="482">
        <f t="shared" si="194"/>
        <v>27.642222222222223</v>
      </c>
      <c r="AN139" s="482">
        <f t="shared" si="195"/>
        <v>0</v>
      </c>
      <c r="AO139" s="482">
        <f t="shared" si="196"/>
        <v>5.5222222222222221</v>
      </c>
      <c r="AP139" s="482">
        <f t="shared" si="197"/>
        <v>22.12</v>
      </c>
      <c r="AQ139" s="482">
        <f t="shared" si="198"/>
        <v>27.642222222222223</v>
      </c>
      <c r="AR139" s="482">
        <f t="shared" si="199"/>
        <v>0.28444444444444444</v>
      </c>
      <c r="AS139" s="482">
        <f t="shared" si="200"/>
        <v>5.8066666666666666</v>
      </c>
      <c r="AT139" s="482">
        <f t="shared" si="201"/>
        <v>22.404444444444444</v>
      </c>
      <c r="AU139" s="482">
        <f t="shared" si="202"/>
        <v>27.926666666666666</v>
      </c>
      <c r="AV139" s="482">
        <f t="shared" si="203"/>
        <v>0.28444444444444444</v>
      </c>
      <c r="AW139" s="482">
        <f t="shared" si="204"/>
        <v>5.8066666666666666</v>
      </c>
      <c r="AX139" s="482">
        <f t="shared" si="205"/>
        <v>22.404444444444444</v>
      </c>
      <c r="AY139" s="482">
        <f t="shared" si="206"/>
        <v>27.926666666666666</v>
      </c>
      <c r="AZ139" s="482">
        <f t="shared" si="207"/>
        <v>0.28444444444444444</v>
      </c>
      <c r="BA139" s="482">
        <f t="shared" si="208"/>
        <v>5.8066666666666666</v>
      </c>
      <c r="BB139" s="482">
        <f t="shared" si="209"/>
        <v>22.404444444444444</v>
      </c>
      <c r="BC139" s="482">
        <f t="shared" si="210"/>
        <v>27.926666666666666</v>
      </c>
      <c r="BD139" s="482">
        <f t="shared" si="211"/>
        <v>0.28444444444444444</v>
      </c>
      <c r="BE139" s="482">
        <f t="shared" si="212"/>
        <v>5.8066666666666666</v>
      </c>
      <c r="BF139" s="482">
        <f t="shared" si="213"/>
        <v>22.404444444444444</v>
      </c>
      <c r="BG139" s="482">
        <f t="shared" si="214"/>
        <v>27.926666666666666</v>
      </c>
    </row>
    <row r="140" spans="1:59">
      <c r="A140" s="213" t="s">
        <v>5315</v>
      </c>
      <c r="B140" s="231">
        <v>615858356</v>
      </c>
      <c r="C140" s="210" t="s">
        <v>5285</v>
      </c>
      <c r="D140" s="210">
        <v>105</v>
      </c>
      <c r="F140" s="239" t="str" cm="1">
        <f t="array" aca="1" ref="F140" ca="1">MID(met2utc(PEPSSI_Commanding[[#This Row],[MET]]),3,15)</f>
        <v>25-207/17:54:00</v>
      </c>
      <c r="G140" s="213" t="str">
        <f t="shared" si="165"/>
        <v>MAC+105</v>
      </c>
      <c r="H140" s="214">
        <f t="shared" si="166"/>
        <v>615857156</v>
      </c>
      <c r="I140" s="214">
        <f t="shared" si="167"/>
        <v>616807206</v>
      </c>
      <c r="J140" s="213">
        <f t="shared" si="168"/>
        <v>23</v>
      </c>
      <c r="K140" s="213">
        <f t="shared" si="169"/>
        <v>1</v>
      </c>
      <c r="M140" s="210">
        <f t="shared" si="170"/>
        <v>360</v>
      </c>
      <c r="N140" s="210">
        <f t="shared" si="171"/>
        <v>2</v>
      </c>
      <c r="O140" s="210">
        <f t="shared" si="172"/>
        <v>900</v>
      </c>
      <c r="P140" s="210">
        <f t="shared" si="173"/>
        <v>1800</v>
      </c>
      <c r="Q140" s="210" t="str">
        <f t="shared" si="174"/>
        <v/>
      </c>
      <c r="R140" s="210">
        <f t="shared" si="175"/>
        <v>300</v>
      </c>
      <c r="S140" s="210" t="str">
        <f t="shared" si="176"/>
        <v>102</v>
      </c>
      <c r="U140" s="482">
        <f t="shared" si="177"/>
        <v>4.40625</v>
      </c>
      <c r="V140" s="482">
        <f>IF(OR($N140="",$R140=""),0,V$1/64/$N140)</f>
        <v>18.28125</v>
      </c>
      <c r="W140" s="482">
        <f t="shared" si="179"/>
        <v>0.28444444444444444</v>
      </c>
      <c r="X140" s="482">
        <f t="shared" si="180"/>
        <v>5.5222222222222221</v>
      </c>
      <c r="Y140" s="482">
        <f t="shared" si="181"/>
        <v>665</v>
      </c>
      <c r="Z140" s="482">
        <f t="shared" si="182"/>
        <v>4.6180555555555554</v>
      </c>
      <c r="AA140" s="482">
        <f t="shared" si="183"/>
        <v>22.12</v>
      </c>
      <c r="AB140" s="243"/>
      <c r="AC140" s="482">
        <f t="shared" si="184"/>
        <v>5.5222222222222221</v>
      </c>
      <c r="AD140" s="482">
        <f t="shared" si="185"/>
        <v>40.401250000000005</v>
      </c>
      <c r="AE140" s="482">
        <f t="shared" si="186"/>
        <v>45.92347222222223</v>
      </c>
      <c r="AF140" s="482">
        <f t="shared" si="187"/>
        <v>4.6180555555555554</v>
      </c>
      <c r="AG140" s="482">
        <f t="shared" si="188"/>
        <v>10.140277777777778</v>
      </c>
      <c r="AH140" s="482">
        <f t="shared" si="189"/>
        <v>45.019305555555562</v>
      </c>
      <c r="AI140" s="482">
        <f t="shared" si="190"/>
        <v>50.541527777777787</v>
      </c>
      <c r="AJ140" s="482">
        <f t="shared" si="191"/>
        <v>4.40625</v>
      </c>
      <c r="AK140" s="482">
        <f t="shared" si="192"/>
        <v>9.9284722222222221</v>
      </c>
      <c r="AL140" s="482">
        <f t="shared" si="193"/>
        <v>44.807500000000005</v>
      </c>
      <c r="AM140" s="482">
        <f t="shared" si="194"/>
        <v>50.32972222222223</v>
      </c>
      <c r="AN140" s="482">
        <f t="shared" si="195"/>
        <v>9.0243055555555554</v>
      </c>
      <c r="AO140" s="482">
        <f t="shared" si="196"/>
        <v>14.546527777777778</v>
      </c>
      <c r="AP140" s="482">
        <f t="shared" si="197"/>
        <v>49.425555555555562</v>
      </c>
      <c r="AQ140" s="482">
        <f t="shared" si="198"/>
        <v>54.947777777777787</v>
      </c>
      <c r="AR140" s="482">
        <f t="shared" si="199"/>
        <v>0.28444444444444444</v>
      </c>
      <c r="AS140" s="482">
        <f t="shared" si="200"/>
        <v>5.8066666666666666</v>
      </c>
      <c r="AT140" s="482">
        <f t="shared" si="201"/>
        <v>40.685694444444451</v>
      </c>
      <c r="AU140" s="482">
        <f t="shared" si="202"/>
        <v>46.207916666666677</v>
      </c>
      <c r="AV140" s="482">
        <f t="shared" si="203"/>
        <v>4.9024999999999999</v>
      </c>
      <c r="AW140" s="482">
        <f t="shared" si="204"/>
        <v>10.424722222222222</v>
      </c>
      <c r="AX140" s="482">
        <f t="shared" si="205"/>
        <v>45.303750000000008</v>
      </c>
      <c r="AY140" s="482">
        <f t="shared" si="206"/>
        <v>50.825972222222234</v>
      </c>
      <c r="AZ140" s="482">
        <f t="shared" si="207"/>
        <v>4.6906944444444445</v>
      </c>
      <c r="BA140" s="482">
        <f t="shared" si="208"/>
        <v>10.212916666666667</v>
      </c>
      <c r="BB140" s="482">
        <f t="shared" si="209"/>
        <v>45.091944444444451</v>
      </c>
      <c r="BC140" s="482">
        <f t="shared" si="210"/>
        <v>50.614166666666677</v>
      </c>
      <c r="BD140" s="482">
        <f t="shared" si="211"/>
        <v>9.3087499999999999</v>
      </c>
      <c r="BE140" s="482">
        <f t="shared" si="212"/>
        <v>14.830972222222222</v>
      </c>
      <c r="BF140" s="482">
        <f t="shared" si="213"/>
        <v>49.710000000000008</v>
      </c>
      <c r="BG140" s="482">
        <f t="shared" si="214"/>
        <v>55.232222222222234</v>
      </c>
    </row>
    <row r="141" spans="1:59">
      <c r="A141" s="213" t="s">
        <v>5314</v>
      </c>
      <c r="B141" s="231">
        <v>616807206</v>
      </c>
      <c r="C141" s="210" t="s">
        <v>5318</v>
      </c>
      <c r="F141" s="239" t="str" cm="1">
        <f t="array" aca="1" ref="F141" ca="1">MID(met2utc(PEPSSI_Commanding[[#This Row],[MET]]),3,15)</f>
        <v>25-218/17:28:10</v>
      </c>
      <c r="G141" s="213" t="str">
        <f t="shared" si="165"/>
        <v>OFF</v>
      </c>
      <c r="H141" s="214">
        <f t="shared" si="166"/>
        <v>615857156</v>
      </c>
      <c r="I141" s="214">
        <f t="shared" si="167"/>
        <v>616807206</v>
      </c>
      <c r="J141" s="213">
        <f t="shared" si="168"/>
        <v>24</v>
      </c>
      <c r="K141" s="213">
        <f t="shared" si="169"/>
        <v>0</v>
      </c>
      <c r="M141" s="210">
        <f t="shared" si="170"/>
        <v>360</v>
      </c>
      <c r="N141" s="210">
        <f t="shared" si="171"/>
        <v>2</v>
      </c>
      <c r="O141" s="210">
        <f t="shared" si="172"/>
        <v>900</v>
      </c>
      <c r="P141" s="210">
        <f t="shared" si="173"/>
        <v>1800</v>
      </c>
      <c r="Q141" s="210" t="str">
        <f t="shared" si="174"/>
        <v/>
      </c>
      <c r="R141" s="210">
        <f t="shared" si="175"/>
        <v>300</v>
      </c>
      <c r="S141" s="210" t="str">
        <f t="shared" si="176"/>
        <v>102</v>
      </c>
      <c r="U141" s="482">
        <f t="shared" si="177"/>
        <v>4.40625</v>
      </c>
      <c r="V141" s="482">
        <f t="shared" si="178"/>
        <v>18.28125</v>
      </c>
      <c r="W141" s="482">
        <f t="shared" si="179"/>
        <v>0.28444444444444444</v>
      </c>
      <c r="X141" s="482">
        <f t="shared" si="180"/>
        <v>5.5222222222222221</v>
      </c>
      <c r="Y141" s="482">
        <f t="shared" si="181"/>
        <v>665</v>
      </c>
      <c r="Z141" s="482">
        <f t="shared" si="182"/>
        <v>4.6180555555555554</v>
      </c>
      <c r="AA141" s="482">
        <f t="shared" si="183"/>
        <v>22.12</v>
      </c>
      <c r="AB141" s="243"/>
      <c r="AC141" s="482">
        <f t="shared" si="184"/>
        <v>5.5222222222222221</v>
      </c>
      <c r="AD141" s="482">
        <f t="shared" si="185"/>
        <v>40.401250000000005</v>
      </c>
      <c r="AE141" s="482">
        <f t="shared" si="186"/>
        <v>45.92347222222223</v>
      </c>
      <c r="AF141" s="482">
        <f t="shared" si="187"/>
        <v>4.6180555555555554</v>
      </c>
      <c r="AG141" s="482">
        <f t="shared" si="188"/>
        <v>10.140277777777778</v>
      </c>
      <c r="AH141" s="482">
        <f t="shared" si="189"/>
        <v>45.019305555555562</v>
      </c>
      <c r="AI141" s="482">
        <f t="shared" si="190"/>
        <v>50.541527777777787</v>
      </c>
      <c r="AJ141" s="482">
        <f t="shared" si="191"/>
        <v>4.40625</v>
      </c>
      <c r="AK141" s="482">
        <f t="shared" si="192"/>
        <v>9.9284722222222221</v>
      </c>
      <c r="AL141" s="482">
        <f t="shared" si="193"/>
        <v>44.807500000000005</v>
      </c>
      <c r="AM141" s="482">
        <f t="shared" si="194"/>
        <v>50.32972222222223</v>
      </c>
      <c r="AN141" s="482">
        <f t="shared" si="195"/>
        <v>9.0243055555555554</v>
      </c>
      <c r="AO141" s="482">
        <f t="shared" si="196"/>
        <v>14.546527777777778</v>
      </c>
      <c r="AP141" s="482">
        <f t="shared" si="197"/>
        <v>49.425555555555562</v>
      </c>
      <c r="AQ141" s="482">
        <f t="shared" si="198"/>
        <v>54.947777777777787</v>
      </c>
      <c r="AR141" s="482">
        <f t="shared" si="199"/>
        <v>0.28444444444444444</v>
      </c>
      <c r="AS141" s="482">
        <f t="shared" si="200"/>
        <v>5.8066666666666666</v>
      </c>
      <c r="AT141" s="482">
        <f t="shared" si="201"/>
        <v>40.685694444444451</v>
      </c>
      <c r="AU141" s="482">
        <f t="shared" si="202"/>
        <v>46.207916666666677</v>
      </c>
      <c r="AV141" s="482">
        <f t="shared" si="203"/>
        <v>4.9024999999999999</v>
      </c>
      <c r="AW141" s="482">
        <f t="shared" si="204"/>
        <v>10.424722222222222</v>
      </c>
      <c r="AX141" s="482">
        <f t="shared" si="205"/>
        <v>45.303750000000008</v>
      </c>
      <c r="AY141" s="482">
        <f t="shared" si="206"/>
        <v>50.825972222222234</v>
      </c>
      <c r="AZ141" s="482">
        <f t="shared" si="207"/>
        <v>4.6906944444444445</v>
      </c>
      <c r="BA141" s="482">
        <f t="shared" si="208"/>
        <v>10.212916666666667</v>
      </c>
      <c r="BB141" s="482">
        <f t="shared" si="209"/>
        <v>45.091944444444451</v>
      </c>
      <c r="BC141" s="482">
        <f t="shared" si="210"/>
        <v>50.614166666666677</v>
      </c>
      <c r="BD141" s="482">
        <f t="shared" si="211"/>
        <v>9.3087499999999999</v>
      </c>
      <c r="BE141" s="482">
        <f t="shared" si="212"/>
        <v>14.830972222222222</v>
      </c>
      <c r="BF141" s="482">
        <f t="shared" si="213"/>
        <v>49.710000000000008</v>
      </c>
      <c r="BG141" s="482">
        <f t="shared" si="214"/>
        <v>55.232222222222234</v>
      </c>
    </row>
    <row r="142" spans="1:59">
      <c r="A142" s="213" t="s">
        <v>5314</v>
      </c>
      <c r="B142" s="231">
        <v>616843136</v>
      </c>
      <c r="C142" s="210" t="s">
        <v>433</v>
      </c>
      <c r="F142" s="239" t="str" cm="1">
        <f t="array" aca="1" ref="F142" ca="1">MID(met2utc(PEPSSI_Commanding[[#This Row],[MET]]),3,15)</f>
        <v>25-219/03:27:00</v>
      </c>
      <c r="G142" s="213" t="str">
        <f t="shared" ref="G142:G173" si="215">_xlfn.TEXTJOIN("+",TRUE,$C142:$D142)</f>
        <v>ON</v>
      </c>
      <c r="H142" s="214">
        <f t="shared" ref="H142:H173" si="216">IF($C142="ON",$B142,IF(RIGHT($H141,9)="MET Start","",IF(AND($K142&lt;&gt;0,$K141=1),$B142,$H141)))</f>
        <v>616843136</v>
      </c>
      <c r="I142" s="214">
        <f t="shared" ref="I142:I173" si="217">IF($C142="OFF",$B142,IF($B143="",$B142+31500000,IF($K142=1,$B143,I143)))</f>
        <v>616844816</v>
      </c>
      <c r="J142" s="213">
        <f t="shared" ref="J142:J173" si="218">IF($G142="ON",0,IF(OR(J141="",LEFT(J141,6)="Offset"),"",J141+1))</f>
        <v>0</v>
      </c>
      <c r="K142" s="213">
        <f t="shared" ref="K142:K173" si="219">IF($G142="OFF",0,IF(AND($J143&lt;&gt;0,$J142&lt;&gt;9,$G143&lt;&gt;"MAC+111",($B143-$B142)&lt;7200),K143+1,1))</f>
        <v>10</v>
      </c>
      <c r="M142" s="210" t="str">
        <f t="shared" ref="M142:M173" si="220">IF($C142="ON","",IF($C142="N1",$D142,IF(M141="N1","",M141)))</f>
        <v/>
      </c>
      <c r="N142" s="210" t="str">
        <f t="shared" ref="N142:N173" si="221">IF($C142="ON","",IF($C142="N2",$D142,IF($G142="MAC+103",3,IF($G142="MAC+104",2,IF(N141="N2","",N141)))))</f>
        <v/>
      </c>
      <c r="O142" s="210" t="str">
        <f t="shared" ref="O142:O173" si="222">IF($C142="ON","",IF($C142="N3",$D142,IF(O141="N3","",O141)))</f>
        <v/>
      </c>
      <c r="P142" s="210" t="str">
        <f t="shared" ref="P142:P173" si="223">IF($C142="ON","",IF($C142="STAT",$D142,IF(P141="STAT","",P141)))</f>
        <v/>
      </c>
      <c r="Q142" s="210" t="str">
        <f t="shared" ref="Q142:Q173" si="224">IF(OR($C142="ON",$G142="MAC+101",AND($C142="MAC",105&lt;=$D142,$D142&lt;=110)),"",IF(OR($G142="MAC+103",$G142="MAC+104",$G142="MAC+111"),"disabled",IF(Q141="N2 disabled","",Q141)))</f>
        <v/>
      </c>
      <c r="R142" s="210" t="str">
        <f t="shared" ref="R142:R173" si="225">IF(OR($G142="ON",$G142="MAC+111"),"",IF($G142="MAC+105",300,IF(OR($G142="MAC+106",$G142="MAC+101"),600,IF($G142="MAC+107",840,IF($G142="MAC+108",1200,IF($G142="MAC+109",1800,IF($G142="MAC+110",43200,IF(LEFT(R141,4)="105-","",R141))))))))</f>
        <v/>
      </c>
      <c r="S142" s="210" t="str">
        <f t="shared" ref="S142:S173" si="226">IF($C142="ON","",IF($G142="MAC+102","102",IF(RIGHT(S141,1)="?","",S141)))</f>
        <v/>
      </c>
      <c r="U142" s="482">
        <f t="shared" ref="U142:U173" si="227">IF(OR($N142="",$R142=""),0,U$1/64/$N142)</f>
        <v>0</v>
      </c>
      <c r="V142" s="482">
        <f t="shared" ref="V142:V173" si="228">IF(OR($N142="",$R142=""),0,V$1/64/$N142)</f>
        <v>0</v>
      </c>
      <c r="W142" s="482">
        <f t="shared" ref="W142:W173" si="229">IF($P142="",0,W$1/$P142)</f>
        <v>0</v>
      </c>
      <c r="X142" s="482">
        <f t="shared" ref="X142:X173" si="230">IF($M142="",0,X$1/$M142)</f>
        <v>0</v>
      </c>
      <c r="Y142" s="482">
        <f t="shared" ref="Y142:Y173" si="231">IF(OR($N142="",$Q142&lt;&gt;""),0,Y$1/$N142)</f>
        <v>0</v>
      </c>
      <c r="Z142" s="482">
        <f t="shared" ref="Z142:Z173" si="232">IF($N142="",0,IF($R142="",1,R142/43200)*Y142)</f>
        <v>0</v>
      </c>
      <c r="AA142" s="482">
        <f t="shared" ref="AA142:AA173" si="233">IF($O142="",0,AA$1/$O142)</f>
        <v>0</v>
      </c>
      <c r="AB142" s="243"/>
      <c r="AC142" s="482">
        <f t="shared" ref="AC142:AC173" si="234">IF(AC$3&lt;&gt;"",$W142,0)+IF(AC$4&lt;&gt;"",$U142,0)+IF(AC$5&lt;&gt;"",$Z142+IF($S142&lt;&gt;"102",$V142,0),0)+IF(AC$6&lt;&gt;"",$AA142+IF($S142="102",$V142,0),0)+IF(AC$7&lt;&gt;"",$X142,0)</f>
        <v>0</v>
      </c>
      <c r="AD142" s="482">
        <f t="shared" ref="AD142:AD173" si="235">IF(AD$3&lt;&gt;"",$W142,0)+IF(AD$4&lt;&gt;"",$U142,0)+IF(AD$5&lt;&gt;"",$Z142+IF($S142&lt;&gt;"102",$V142,0),0)+IF(AD$6&lt;&gt;"",$AA142+IF($S142="102",$V142,0),0)+IF(AD$7&lt;&gt;"",$X142,0)</f>
        <v>0</v>
      </c>
      <c r="AE142" s="482">
        <f t="shared" ref="AE142:AE173" si="236">IF(AE$3&lt;&gt;"",$W142,0)+IF(AE$4&lt;&gt;"",$U142,0)+IF(AE$5&lt;&gt;"",$Z142+IF($S142&lt;&gt;"102",$V142,0),0)+IF(AE$6&lt;&gt;"",$AA142+IF($S142="102",$V142,0),0)+IF(AE$7&lt;&gt;"",$X142,0)</f>
        <v>0</v>
      </c>
      <c r="AF142" s="482">
        <f t="shared" ref="AF142:AF173" si="237">IF(AF$3&lt;&gt;"",$W142,0)+IF(AF$4&lt;&gt;"",$U142,0)+IF(AF$5&lt;&gt;"",$Z142+IF($S142&lt;&gt;"102",$V142,0),0)+IF(AF$6&lt;&gt;"",$AA142+IF($S142="102",$V142,0),0)+IF(AF$7&lt;&gt;"",$X142,0)</f>
        <v>0</v>
      </c>
      <c r="AG142" s="482">
        <f t="shared" ref="AG142:AG173" si="238">IF(AG$3&lt;&gt;"",$W142,0)+IF(AG$4&lt;&gt;"",$U142,0)+IF(AG$5&lt;&gt;"",$Z142+IF($S142&lt;&gt;"102",$V142,0),0)+IF(AG$6&lt;&gt;"",$AA142+IF($S142="102",$V142,0),0)+IF(AG$7&lt;&gt;"",$X142,0)</f>
        <v>0</v>
      </c>
      <c r="AH142" s="482">
        <f t="shared" ref="AH142:AH173" si="239">IF(AH$3&lt;&gt;"",$W142,0)+IF(AH$4&lt;&gt;"",$U142,0)+IF(AH$5&lt;&gt;"",$Z142+IF($S142&lt;&gt;"102",$V142,0),0)+IF(AH$6&lt;&gt;"",$AA142+IF($S142="102",$V142,0),0)+IF(AH$7&lt;&gt;"",$X142,0)</f>
        <v>0</v>
      </c>
      <c r="AI142" s="482">
        <f t="shared" ref="AI142:AI173" si="240">IF(AI$3&lt;&gt;"",$W142,0)+IF(AI$4&lt;&gt;"",$U142,0)+IF(AI$5&lt;&gt;"",$Z142+IF($S142&lt;&gt;"102",$V142,0),0)+IF(AI$6&lt;&gt;"",$AA142+IF($S142="102",$V142,0),0)+IF(AI$7&lt;&gt;"",$X142,0)</f>
        <v>0</v>
      </c>
      <c r="AJ142" s="482">
        <f t="shared" ref="AJ142:AJ173" si="241">IF(AJ$3&lt;&gt;"",$W142,0)+IF(AJ$4&lt;&gt;"",$U142,0)+IF(AJ$5&lt;&gt;"",$Z142+IF($S142&lt;&gt;"102",$V142,0),0)+IF(AJ$6&lt;&gt;"",$AA142+IF($S142="102",$V142,0),0)+IF(AJ$7&lt;&gt;"",$X142,0)</f>
        <v>0</v>
      </c>
      <c r="AK142" s="482">
        <f t="shared" ref="AK142:AK173" si="242">IF(AK$3&lt;&gt;"",$W142,0)+IF(AK$4&lt;&gt;"",$U142,0)+IF(AK$5&lt;&gt;"",$Z142+IF($S142&lt;&gt;"102",$V142,0),0)+IF(AK$6&lt;&gt;"",$AA142+IF($S142="102",$V142,0),0)+IF(AK$7&lt;&gt;"",$X142,0)</f>
        <v>0</v>
      </c>
      <c r="AL142" s="482">
        <f t="shared" ref="AL142:AL173" si="243">IF(AL$3&lt;&gt;"",$W142,0)+IF(AL$4&lt;&gt;"",$U142,0)+IF(AL$5&lt;&gt;"",$Z142+IF($S142&lt;&gt;"102",$V142,0),0)+IF(AL$6&lt;&gt;"",$AA142+IF($S142="102",$V142,0),0)+IF(AL$7&lt;&gt;"",$X142,0)</f>
        <v>0</v>
      </c>
      <c r="AM142" s="482">
        <f t="shared" ref="AM142:AM173" si="244">IF(AM$3&lt;&gt;"",$W142,0)+IF(AM$4&lt;&gt;"",$U142,0)+IF(AM$5&lt;&gt;"",$Z142+IF($S142&lt;&gt;"102",$V142,0),0)+IF(AM$6&lt;&gt;"",$AA142+IF($S142="102",$V142,0),0)+IF(AM$7&lt;&gt;"",$X142,0)</f>
        <v>0</v>
      </c>
      <c r="AN142" s="482">
        <f t="shared" ref="AN142:AN173" si="245">IF(AN$3&lt;&gt;"",$W142,0)+IF(AN$4&lt;&gt;"",$U142,0)+IF(AN$5&lt;&gt;"",$Z142+IF($S142&lt;&gt;"102",$V142,0),0)+IF(AN$6&lt;&gt;"",$AA142+IF($S142="102",$V142,0),0)+IF(AN$7&lt;&gt;"",$X142,0)</f>
        <v>0</v>
      </c>
      <c r="AO142" s="482">
        <f t="shared" ref="AO142:AO173" si="246">IF(AO$3&lt;&gt;"",$W142,0)+IF(AO$4&lt;&gt;"",$U142,0)+IF(AO$5&lt;&gt;"",$Z142+IF($S142&lt;&gt;"102",$V142,0),0)+IF(AO$6&lt;&gt;"",$AA142+IF($S142="102",$V142,0),0)+IF(AO$7&lt;&gt;"",$X142,0)</f>
        <v>0</v>
      </c>
      <c r="AP142" s="482">
        <f t="shared" ref="AP142:AP173" si="247">IF(AP$3&lt;&gt;"",$W142,0)+IF(AP$4&lt;&gt;"",$U142,0)+IF(AP$5&lt;&gt;"",$Z142+IF($S142&lt;&gt;"102",$V142,0),0)+IF(AP$6&lt;&gt;"",$AA142+IF($S142="102",$V142,0),0)+IF(AP$7&lt;&gt;"",$X142,0)</f>
        <v>0</v>
      </c>
      <c r="AQ142" s="482">
        <f t="shared" ref="AQ142:AQ173" si="248">IF(AQ$3&lt;&gt;"",$W142,0)+IF(AQ$4&lt;&gt;"",$U142,0)+IF(AQ$5&lt;&gt;"",$Z142+IF($S142&lt;&gt;"102",$V142,0),0)+IF(AQ$6&lt;&gt;"",$AA142+IF($S142="102",$V142,0),0)+IF(AQ$7&lt;&gt;"",$X142,0)</f>
        <v>0</v>
      </c>
      <c r="AR142" s="482">
        <f t="shared" ref="AR142:AR173" si="249">IF(AR$3&lt;&gt;"",$W142,0)+IF(AR$4&lt;&gt;"",$U142,0)+IF(AR$5&lt;&gt;"",$Z142+IF($S142&lt;&gt;"102",$V142,0),0)+IF(AR$6&lt;&gt;"",$AA142+IF($S142="102",$V142,0),0)+IF(AR$7&lt;&gt;"",$X142,0)</f>
        <v>0</v>
      </c>
      <c r="AS142" s="482">
        <f t="shared" ref="AS142:AS173" si="250">IF(AS$3&lt;&gt;"",$W142,0)+IF(AS$4&lt;&gt;"",$U142,0)+IF(AS$5&lt;&gt;"",$Z142+IF($S142&lt;&gt;"102",$V142,0),0)+IF(AS$6&lt;&gt;"",$AA142+IF($S142="102",$V142,0),0)+IF(AS$7&lt;&gt;"",$X142,0)</f>
        <v>0</v>
      </c>
      <c r="AT142" s="482">
        <f t="shared" ref="AT142:AT173" si="251">IF(AT$3&lt;&gt;"",$W142,0)+IF(AT$4&lt;&gt;"",$U142,0)+IF(AT$5&lt;&gt;"",$Z142+IF($S142&lt;&gt;"102",$V142,0),0)+IF(AT$6&lt;&gt;"",$AA142+IF($S142="102",$V142,0),0)+IF(AT$7&lt;&gt;"",$X142,0)</f>
        <v>0</v>
      </c>
      <c r="AU142" s="482">
        <f t="shared" ref="AU142:AU173" si="252">IF(AU$3&lt;&gt;"",$W142,0)+IF(AU$4&lt;&gt;"",$U142,0)+IF(AU$5&lt;&gt;"",$Z142+IF($S142&lt;&gt;"102",$V142,0),0)+IF(AU$6&lt;&gt;"",$AA142+IF($S142="102",$V142,0),0)+IF(AU$7&lt;&gt;"",$X142,0)</f>
        <v>0</v>
      </c>
      <c r="AV142" s="482">
        <f t="shared" ref="AV142:AV173" si="253">IF(AV$3&lt;&gt;"",$W142,0)+IF(AV$4&lt;&gt;"",$U142,0)+IF(AV$5&lt;&gt;"",$Z142+IF($S142&lt;&gt;"102",$V142,0),0)+IF(AV$6&lt;&gt;"",$AA142+IF($S142="102",$V142,0),0)+IF(AV$7&lt;&gt;"",$X142,0)</f>
        <v>0</v>
      </c>
      <c r="AW142" s="482">
        <f t="shared" ref="AW142:AW173" si="254">IF(AW$3&lt;&gt;"",$W142,0)+IF(AW$4&lt;&gt;"",$U142,0)+IF(AW$5&lt;&gt;"",$Z142+IF($S142&lt;&gt;"102",$V142,0),0)+IF(AW$6&lt;&gt;"",$AA142+IF($S142="102",$V142,0),0)+IF(AW$7&lt;&gt;"",$X142,0)</f>
        <v>0</v>
      </c>
      <c r="AX142" s="482">
        <f t="shared" ref="AX142:AX173" si="255">IF(AX$3&lt;&gt;"",$W142,0)+IF(AX$4&lt;&gt;"",$U142,0)+IF(AX$5&lt;&gt;"",$Z142+IF($S142&lt;&gt;"102",$V142,0),0)+IF(AX$6&lt;&gt;"",$AA142+IF($S142="102",$V142,0),0)+IF(AX$7&lt;&gt;"",$X142,0)</f>
        <v>0</v>
      </c>
      <c r="AY142" s="482">
        <f t="shared" ref="AY142:AY173" si="256">IF(AY$3&lt;&gt;"",$W142,0)+IF(AY$4&lt;&gt;"",$U142,0)+IF(AY$5&lt;&gt;"",$Z142+IF($S142&lt;&gt;"102",$V142,0),0)+IF(AY$6&lt;&gt;"",$AA142+IF($S142="102",$V142,0),0)+IF(AY$7&lt;&gt;"",$X142,0)</f>
        <v>0</v>
      </c>
      <c r="AZ142" s="482">
        <f t="shared" ref="AZ142:AZ173" si="257">IF(AZ$3&lt;&gt;"",$W142,0)+IF(AZ$4&lt;&gt;"",$U142,0)+IF(AZ$5&lt;&gt;"",$Z142+IF($S142&lt;&gt;"102",$V142,0),0)+IF(AZ$6&lt;&gt;"",$AA142+IF($S142="102",$V142,0),0)+IF(AZ$7&lt;&gt;"",$X142,0)</f>
        <v>0</v>
      </c>
      <c r="BA142" s="482">
        <f t="shared" ref="BA142:BA173" si="258">IF(BA$3&lt;&gt;"",$W142,0)+IF(BA$4&lt;&gt;"",$U142,0)+IF(BA$5&lt;&gt;"",$Z142+IF($S142&lt;&gt;"102",$V142,0),0)+IF(BA$6&lt;&gt;"",$AA142+IF($S142="102",$V142,0),0)+IF(BA$7&lt;&gt;"",$X142,0)</f>
        <v>0</v>
      </c>
      <c r="BB142" s="482">
        <f t="shared" ref="BB142:BB173" si="259">IF(BB$3&lt;&gt;"",$W142,0)+IF(BB$4&lt;&gt;"",$U142,0)+IF(BB$5&lt;&gt;"",$Z142+IF($S142&lt;&gt;"102",$V142,0),0)+IF(BB$6&lt;&gt;"",$AA142+IF($S142="102",$V142,0),0)+IF(BB$7&lt;&gt;"",$X142,0)</f>
        <v>0</v>
      </c>
      <c r="BC142" s="482">
        <f t="shared" ref="BC142:BC173" si="260">IF(BC$3&lt;&gt;"",$W142,0)+IF(BC$4&lt;&gt;"",$U142,0)+IF(BC$5&lt;&gt;"",$Z142+IF($S142&lt;&gt;"102",$V142,0),0)+IF(BC$6&lt;&gt;"",$AA142+IF($S142="102",$V142,0),0)+IF(BC$7&lt;&gt;"",$X142,0)</f>
        <v>0</v>
      </c>
      <c r="BD142" s="482">
        <f t="shared" ref="BD142:BD173" si="261">IF(BD$3&lt;&gt;"",$W142,0)+IF(BD$4&lt;&gt;"",$U142,0)+IF(BD$5&lt;&gt;"",$Z142+IF($S142&lt;&gt;"102",$V142,0),0)+IF(BD$6&lt;&gt;"",$AA142+IF($S142="102",$V142,0),0)+IF(BD$7&lt;&gt;"",$X142,0)</f>
        <v>0</v>
      </c>
      <c r="BE142" s="482">
        <f t="shared" ref="BE142:BE173" si="262">IF(BE$3&lt;&gt;"",$W142,0)+IF(BE$4&lt;&gt;"",$U142,0)+IF(BE$5&lt;&gt;"",$Z142+IF($S142&lt;&gt;"102",$V142,0),0)+IF(BE$6&lt;&gt;"",$AA142+IF($S142="102",$V142,0),0)+IF(BE$7&lt;&gt;"",$X142,0)</f>
        <v>0</v>
      </c>
      <c r="BF142" s="482">
        <f t="shared" ref="BF142:BF173" si="263">IF(BF$3&lt;&gt;"",$W142,0)+IF(BF$4&lt;&gt;"",$U142,0)+IF(BF$5&lt;&gt;"",$Z142+IF($S142&lt;&gt;"102",$V142,0),0)+IF(BF$6&lt;&gt;"",$AA142+IF($S142="102",$V142,0),0)+IF(BF$7&lt;&gt;"",$X142,0)</f>
        <v>0</v>
      </c>
      <c r="BG142" s="482">
        <f t="shared" ref="BG142:BG173" si="264">IF(BG$3&lt;&gt;"",$W142,0)+IF(BG$4&lt;&gt;"",$U142,0)+IF(BG$5&lt;&gt;"",$Z142+IF($S142&lt;&gt;"102",$V142,0),0)+IF(BG$6&lt;&gt;"",$AA142+IF($S142="102",$V142,0),0)+IF(BG$7&lt;&gt;"",$X142,0)</f>
        <v>0</v>
      </c>
    </row>
    <row r="143" spans="1:59">
      <c r="A143" s="213" t="s">
        <v>5315</v>
      </c>
      <c r="B143" s="231">
        <v>616843181</v>
      </c>
      <c r="C143" s="210" t="s">
        <v>5285</v>
      </c>
      <c r="D143" s="210">
        <v>10</v>
      </c>
      <c r="F143" s="239" t="str" cm="1">
        <f t="array" aca="1" ref="F143" ca="1">MID(met2utc(PEPSSI_Commanding[[#This Row],[MET]]),3,15)</f>
        <v>25-219/03:27:45</v>
      </c>
      <c r="G143" s="213" t="str">
        <f t="shared" si="215"/>
        <v>MAC+10</v>
      </c>
      <c r="H143" s="214">
        <f t="shared" si="216"/>
        <v>616843136</v>
      </c>
      <c r="I143" s="214">
        <f t="shared" si="217"/>
        <v>616844816</v>
      </c>
      <c r="J143" s="213">
        <f t="shared" si="218"/>
        <v>1</v>
      </c>
      <c r="K143" s="213">
        <f t="shared" si="219"/>
        <v>9</v>
      </c>
      <c r="M143" s="210" t="str">
        <f t="shared" si="220"/>
        <v/>
      </c>
      <c r="N143" s="210" t="str">
        <f t="shared" si="221"/>
        <v/>
      </c>
      <c r="O143" s="210" t="str">
        <f t="shared" si="222"/>
        <v/>
      </c>
      <c r="P143" s="210" t="str">
        <f t="shared" si="223"/>
        <v/>
      </c>
      <c r="Q143" s="210" t="str">
        <f t="shared" si="224"/>
        <v/>
      </c>
      <c r="R143" s="210" t="str">
        <f t="shared" si="225"/>
        <v/>
      </c>
      <c r="S143" s="210" t="str">
        <f t="shared" si="226"/>
        <v/>
      </c>
      <c r="U143" s="482">
        <f t="shared" si="227"/>
        <v>0</v>
      </c>
      <c r="V143" s="482">
        <f t="shared" si="228"/>
        <v>0</v>
      </c>
      <c r="W143" s="482">
        <f t="shared" si="229"/>
        <v>0</v>
      </c>
      <c r="X143" s="482">
        <f t="shared" si="230"/>
        <v>0</v>
      </c>
      <c r="Y143" s="482">
        <f t="shared" si="231"/>
        <v>0</v>
      </c>
      <c r="Z143" s="482">
        <f t="shared" si="232"/>
        <v>0</v>
      </c>
      <c r="AA143" s="482">
        <f t="shared" si="233"/>
        <v>0</v>
      </c>
      <c r="AB143" s="243"/>
      <c r="AC143" s="482">
        <f t="shared" si="234"/>
        <v>0</v>
      </c>
      <c r="AD143" s="482">
        <f t="shared" si="235"/>
        <v>0</v>
      </c>
      <c r="AE143" s="482">
        <f t="shared" si="236"/>
        <v>0</v>
      </c>
      <c r="AF143" s="482">
        <f t="shared" si="237"/>
        <v>0</v>
      </c>
      <c r="AG143" s="482">
        <f t="shared" si="238"/>
        <v>0</v>
      </c>
      <c r="AH143" s="482">
        <f t="shared" si="239"/>
        <v>0</v>
      </c>
      <c r="AI143" s="482">
        <f t="shared" si="240"/>
        <v>0</v>
      </c>
      <c r="AJ143" s="482">
        <f t="shared" si="241"/>
        <v>0</v>
      </c>
      <c r="AK143" s="482">
        <f t="shared" si="242"/>
        <v>0</v>
      </c>
      <c r="AL143" s="482">
        <f t="shared" si="243"/>
        <v>0</v>
      </c>
      <c r="AM143" s="482">
        <f t="shared" si="244"/>
        <v>0</v>
      </c>
      <c r="AN143" s="482">
        <f t="shared" si="245"/>
        <v>0</v>
      </c>
      <c r="AO143" s="482">
        <f t="shared" si="246"/>
        <v>0</v>
      </c>
      <c r="AP143" s="482">
        <f t="shared" si="247"/>
        <v>0</v>
      </c>
      <c r="AQ143" s="482">
        <f t="shared" si="248"/>
        <v>0</v>
      </c>
      <c r="AR143" s="482">
        <f t="shared" si="249"/>
        <v>0</v>
      </c>
      <c r="AS143" s="482">
        <f t="shared" si="250"/>
        <v>0</v>
      </c>
      <c r="AT143" s="482">
        <f t="shared" si="251"/>
        <v>0</v>
      </c>
      <c r="AU143" s="482">
        <f t="shared" si="252"/>
        <v>0</v>
      </c>
      <c r="AV143" s="482">
        <f t="shared" si="253"/>
        <v>0</v>
      </c>
      <c r="AW143" s="482">
        <f t="shared" si="254"/>
        <v>0</v>
      </c>
      <c r="AX143" s="482">
        <f t="shared" si="255"/>
        <v>0</v>
      </c>
      <c r="AY143" s="482">
        <f t="shared" si="256"/>
        <v>0</v>
      </c>
      <c r="AZ143" s="482">
        <f t="shared" si="257"/>
        <v>0</v>
      </c>
      <c r="BA143" s="482">
        <f t="shared" si="258"/>
        <v>0</v>
      </c>
      <c r="BB143" s="482">
        <f t="shared" si="259"/>
        <v>0</v>
      </c>
      <c r="BC143" s="482">
        <f t="shared" si="260"/>
        <v>0</v>
      </c>
      <c r="BD143" s="482">
        <f t="shared" si="261"/>
        <v>0</v>
      </c>
      <c r="BE143" s="482">
        <f t="shared" si="262"/>
        <v>0</v>
      </c>
      <c r="BF143" s="482">
        <f t="shared" si="263"/>
        <v>0</v>
      </c>
      <c r="BG143" s="482">
        <f t="shared" si="264"/>
        <v>0</v>
      </c>
    </row>
    <row r="144" spans="1:59">
      <c r="A144" s="213" t="s">
        <v>5316</v>
      </c>
      <c r="B144" s="231">
        <v>616843181</v>
      </c>
      <c r="C144" s="210" t="s">
        <v>61</v>
      </c>
      <c r="D144" s="210">
        <v>10</v>
      </c>
      <c r="F144" s="239" t="str" cm="1">
        <f t="array" aca="1" ref="F144" ca="1">MID(met2utc(PEPSSI_Commanding[[#This Row],[MET]]),3,15)</f>
        <v>25-219/03:27:45</v>
      </c>
      <c r="G144" s="213" t="str">
        <f t="shared" si="215"/>
        <v>N2+10</v>
      </c>
      <c r="H144" s="214">
        <f t="shared" si="216"/>
        <v>616843136</v>
      </c>
      <c r="I144" s="214">
        <f t="shared" si="217"/>
        <v>616844816</v>
      </c>
      <c r="J144" s="213">
        <f t="shared" si="218"/>
        <v>2</v>
      </c>
      <c r="K144" s="213">
        <f t="shared" si="219"/>
        <v>8</v>
      </c>
      <c r="M144" s="210" t="str">
        <f t="shared" si="220"/>
        <v/>
      </c>
      <c r="N144" s="210">
        <f t="shared" si="221"/>
        <v>10</v>
      </c>
      <c r="O144" s="210" t="str">
        <f t="shared" si="222"/>
        <v/>
      </c>
      <c r="P144" s="210" t="str">
        <f t="shared" si="223"/>
        <v/>
      </c>
      <c r="Q144" s="210" t="str">
        <f t="shared" si="224"/>
        <v/>
      </c>
      <c r="R144" s="210" t="str">
        <f t="shared" si="225"/>
        <v/>
      </c>
      <c r="S144" s="210" t="str">
        <f t="shared" si="226"/>
        <v/>
      </c>
      <c r="U144" s="482">
        <f t="shared" si="227"/>
        <v>0</v>
      </c>
      <c r="V144" s="482">
        <f t="shared" si="228"/>
        <v>0</v>
      </c>
      <c r="W144" s="482">
        <f t="shared" si="229"/>
        <v>0</v>
      </c>
      <c r="X144" s="482">
        <f t="shared" si="230"/>
        <v>0</v>
      </c>
      <c r="Y144" s="482">
        <f t="shared" si="231"/>
        <v>133</v>
      </c>
      <c r="Z144" s="482">
        <f t="shared" si="232"/>
        <v>133</v>
      </c>
      <c r="AA144" s="482">
        <f t="shared" si="233"/>
        <v>0</v>
      </c>
      <c r="AB144" s="243"/>
      <c r="AC144" s="482">
        <f t="shared" si="234"/>
        <v>0</v>
      </c>
      <c r="AD144" s="482">
        <f t="shared" si="235"/>
        <v>0</v>
      </c>
      <c r="AE144" s="482">
        <f t="shared" si="236"/>
        <v>0</v>
      </c>
      <c r="AF144" s="482">
        <f t="shared" si="237"/>
        <v>133</v>
      </c>
      <c r="AG144" s="482">
        <f t="shared" si="238"/>
        <v>133</v>
      </c>
      <c r="AH144" s="482">
        <f t="shared" si="239"/>
        <v>133</v>
      </c>
      <c r="AI144" s="482">
        <f t="shared" si="240"/>
        <v>133</v>
      </c>
      <c r="AJ144" s="482">
        <f t="shared" si="241"/>
        <v>0</v>
      </c>
      <c r="AK144" s="482">
        <f t="shared" si="242"/>
        <v>0</v>
      </c>
      <c r="AL144" s="482">
        <f t="shared" si="243"/>
        <v>0</v>
      </c>
      <c r="AM144" s="482">
        <f t="shared" si="244"/>
        <v>0</v>
      </c>
      <c r="AN144" s="482">
        <f t="shared" si="245"/>
        <v>133</v>
      </c>
      <c r="AO144" s="482">
        <f t="shared" si="246"/>
        <v>133</v>
      </c>
      <c r="AP144" s="482">
        <f t="shared" si="247"/>
        <v>133</v>
      </c>
      <c r="AQ144" s="482">
        <f t="shared" si="248"/>
        <v>133</v>
      </c>
      <c r="AR144" s="482">
        <f t="shared" si="249"/>
        <v>0</v>
      </c>
      <c r="AS144" s="482">
        <f t="shared" si="250"/>
        <v>0</v>
      </c>
      <c r="AT144" s="482">
        <f t="shared" si="251"/>
        <v>0</v>
      </c>
      <c r="AU144" s="482">
        <f t="shared" si="252"/>
        <v>0</v>
      </c>
      <c r="AV144" s="482">
        <f t="shared" si="253"/>
        <v>133</v>
      </c>
      <c r="AW144" s="482">
        <f t="shared" si="254"/>
        <v>133</v>
      </c>
      <c r="AX144" s="482">
        <f t="shared" si="255"/>
        <v>133</v>
      </c>
      <c r="AY144" s="482">
        <f t="shared" si="256"/>
        <v>133</v>
      </c>
      <c r="AZ144" s="482">
        <f t="shared" si="257"/>
        <v>0</v>
      </c>
      <c r="BA144" s="482">
        <f t="shared" si="258"/>
        <v>0</v>
      </c>
      <c r="BB144" s="482">
        <f t="shared" si="259"/>
        <v>0</v>
      </c>
      <c r="BC144" s="482">
        <f t="shared" si="260"/>
        <v>0</v>
      </c>
      <c r="BD144" s="482">
        <f t="shared" si="261"/>
        <v>133</v>
      </c>
      <c r="BE144" s="482">
        <f t="shared" si="262"/>
        <v>133</v>
      </c>
      <c r="BF144" s="482">
        <f t="shared" si="263"/>
        <v>133</v>
      </c>
      <c r="BG144" s="482">
        <f t="shared" si="264"/>
        <v>133</v>
      </c>
    </row>
    <row r="145" spans="1:59">
      <c r="A145" s="213" t="s">
        <v>5316</v>
      </c>
      <c r="B145" s="231">
        <v>616843182</v>
      </c>
      <c r="C145" s="210" t="s">
        <v>58</v>
      </c>
      <c r="D145" s="210">
        <v>300</v>
      </c>
      <c r="F145" s="239" t="str" cm="1">
        <f t="array" aca="1" ref="F145" ca="1">MID(met2utc(PEPSSI_Commanding[[#This Row],[MET]]),3,15)</f>
        <v>25-219/03:27:46</v>
      </c>
      <c r="G145" s="213" t="str">
        <f t="shared" si="215"/>
        <v>N3+300</v>
      </c>
      <c r="H145" s="214">
        <f t="shared" si="216"/>
        <v>616843136</v>
      </c>
      <c r="I145" s="214">
        <f t="shared" si="217"/>
        <v>616844816</v>
      </c>
      <c r="J145" s="213">
        <f t="shared" si="218"/>
        <v>3</v>
      </c>
      <c r="K145" s="213">
        <f t="shared" si="219"/>
        <v>7</v>
      </c>
      <c r="M145" s="210" t="str">
        <f t="shared" si="220"/>
        <v/>
      </c>
      <c r="N145" s="210">
        <f t="shared" si="221"/>
        <v>10</v>
      </c>
      <c r="O145" s="210">
        <f t="shared" si="222"/>
        <v>300</v>
      </c>
      <c r="P145" s="210" t="str">
        <f t="shared" si="223"/>
        <v/>
      </c>
      <c r="Q145" s="210" t="str">
        <f t="shared" si="224"/>
        <v/>
      </c>
      <c r="R145" s="210" t="str">
        <f t="shared" si="225"/>
        <v/>
      </c>
      <c r="S145" s="210" t="str">
        <f t="shared" si="226"/>
        <v/>
      </c>
      <c r="U145" s="482">
        <f t="shared" si="227"/>
        <v>0</v>
      </c>
      <c r="V145" s="482">
        <f t="shared" si="228"/>
        <v>0</v>
      </c>
      <c r="W145" s="482">
        <f t="shared" si="229"/>
        <v>0</v>
      </c>
      <c r="X145" s="482">
        <f t="shared" si="230"/>
        <v>0</v>
      </c>
      <c r="Y145" s="482">
        <f t="shared" si="231"/>
        <v>133</v>
      </c>
      <c r="Z145" s="482">
        <f t="shared" si="232"/>
        <v>133</v>
      </c>
      <c r="AA145" s="482">
        <f t="shared" si="233"/>
        <v>66.36</v>
      </c>
      <c r="AB145" s="243"/>
      <c r="AC145" s="482">
        <f t="shared" si="234"/>
        <v>0</v>
      </c>
      <c r="AD145" s="482">
        <f t="shared" si="235"/>
        <v>66.36</v>
      </c>
      <c r="AE145" s="482">
        <f t="shared" si="236"/>
        <v>66.36</v>
      </c>
      <c r="AF145" s="482">
        <f t="shared" si="237"/>
        <v>133</v>
      </c>
      <c r="AG145" s="482">
        <f t="shared" si="238"/>
        <v>133</v>
      </c>
      <c r="AH145" s="482">
        <f t="shared" si="239"/>
        <v>199.36</v>
      </c>
      <c r="AI145" s="482">
        <f t="shared" si="240"/>
        <v>199.36</v>
      </c>
      <c r="AJ145" s="482">
        <f t="shared" si="241"/>
        <v>0</v>
      </c>
      <c r="AK145" s="482">
        <f t="shared" si="242"/>
        <v>0</v>
      </c>
      <c r="AL145" s="482">
        <f t="shared" si="243"/>
        <v>66.36</v>
      </c>
      <c r="AM145" s="482">
        <f t="shared" si="244"/>
        <v>66.36</v>
      </c>
      <c r="AN145" s="482">
        <f t="shared" si="245"/>
        <v>133</v>
      </c>
      <c r="AO145" s="482">
        <f t="shared" si="246"/>
        <v>133</v>
      </c>
      <c r="AP145" s="482">
        <f t="shared" si="247"/>
        <v>199.36</v>
      </c>
      <c r="AQ145" s="482">
        <f t="shared" si="248"/>
        <v>199.36</v>
      </c>
      <c r="AR145" s="482">
        <f t="shared" si="249"/>
        <v>0</v>
      </c>
      <c r="AS145" s="482">
        <f t="shared" si="250"/>
        <v>0</v>
      </c>
      <c r="AT145" s="482">
        <f t="shared" si="251"/>
        <v>66.36</v>
      </c>
      <c r="AU145" s="482">
        <f t="shared" si="252"/>
        <v>66.36</v>
      </c>
      <c r="AV145" s="482">
        <f t="shared" si="253"/>
        <v>133</v>
      </c>
      <c r="AW145" s="482">
        <f t="shared" si="254"/>
        <v>133</v>
      </c>
      <c r="AX145" s="482">
        <f t="shared" si="255"/>
        <v>199.36</v>
      </c>
      <c r="AY145" s="482">
        <f t="shared" si="256"/>
        <v>199.36</v>
      </c>
      <c r="AZ145" s="482">
        <f t="shared" si="257"/>
        <v>0</v>
      </c>
      <c r="BA145" s="482">
        <f t="shared" si="258"/>
        <v>0</v>
      </c>
      <c r="BB145" s="482">
        <f t="shared" si="259"/>
        <v>66.36</v>
      </c>
      <c r="BC145" s="482">
        <f t="shared" si="260"/>
        <v>66.36</v>
      </c>
      <c r="BD145" s="482">
        <f t="shared" si="261"/>
        <v>133</v>
      </c>
      <c r="BE145" s="482">
        <f t="shared" si="262"/>
        <v>133</v>
      </c>
      <c r="BF145" s="482">
        <f t="shared" si="263"/>
        <v>199.36</v>
      </c>
      <c r="BG145" s="482">
        <f t="shared" si="264"/>
        <v>199.36</v>
      </c>
    </row>
    <row r="146" spans="1:59">
      <c r="A146" s="213" t="s">
        <v>5316</v>
      </c>
      <c r="B146" s="231">
        <v>616843183</v>
      </c>
      <c r="C146" s="210" t="s">
        <v>1</v>
      </c>
      <c r="D146" s="210">
        <v>10</v>
      </c>
      <c r="F146" s="239" t="str" cm="1">
        <f t="array" aca="1" ref="F146" ca="1">MID(met2utc(PEPSSI_Commanding[[#This Row],[MET]]),3,15)</f>
        <v>25-219/03:27:47</v>
      </c>
      <c r="G146" s="213" t="str">
        <f t="shared" si="215"/>
        <v>N1+10</v>
      </c>
      <c r="H146" s="214">
        <f t="shared" si="216"/>
        <v>616843136</v>
      </c>
      <c r="I146" s="214">
        <f t="shared" si="217"/>
        <v>616844816</v>
      </c>
      <c r="J146" s="213">
        <f t="shared" si="218"/>
        <v>4</v>
      </c>
      <c r="K146" s="213">
        <f t="shared" si="219"/>
        <v>6</v>
      </c>
      <c r="M146" s="210">
        <f t="shared" si="220"/>
        <v>10</v>
      </c>
      <c r="N146" s="210">
        <f t="shared" si="221"/>
        <v>10</v>
      </c>
      <c r="O146" s="210">
        <f t="shared" si="222"/>
        <v>300</v>
      </c>
      <c r="P146" s="210" t="str">
        <f t="shared" si="223"/>
        <v/>
      </c>
      <c r="Q146" s="210" t="str">
        <f t="shared" si="224"/>
        <v/>
      </c>
      <c r="R146" s="210" t="str">
        <f t="shared" si="225"/>
        <v/>
      </c>
      <c r="S146" s="210" t="str">
        <f t="shared" si="226"/>
        <v/>
      </c>
      <c r="U146" s="482">
        <f t="shared" si="227"/>
        <v>0</v>
      </c>
      <c r="V146" s="482">
        <f t="shared" si="228"/>
        <v>0</v>
      </c>
      <c r="W146" s="482">
        <f t="shared" si="229"/>
        <v>0</v>
      </c>
      <c r="X146" s="482">
        <f t="shared" si="230"/>
        <v>198.8</v>
      </c>
      <c r="Y146" s="482">
        <f t="shared" si="231"/>
        <v>133</v>
      </c>
      <c r="Z146" s="482">
        <f t="shared" si="232"/>
        <v>133</v>
      </c>
      <c r="AA146" s="482">
        <f t="shared" si="233"/>
        <v>66.36</v>
      </c>
      <c r="AB146" s="243"/>
      <c r="AC146" s="482">
        <f t="shared" si="234"/>
        <v>198.8</v>
      </c>
      <c r="AD146" s="482">
        <f t="shared" si="235"/>
        <v>66.36</v>
      </c>
      <c r="AE146" s="482">
        <f t="shared" si="236"/>
        <v>265.16000000000003</v>
      </c>
      <c r="AF146" s="482">
        <f t="shared" si="237"/>
        <v>133</v>
      </c>
      <c r="AG146" s="482">
        <f t="shared" si="238"/>
        <v>331.8</v>
      </c>
      <c r="AH146" s="482">
        <f t="shared" si="239"/>
        <v>199.36</v>
      </c>
      <c r="AI146" s="482">
        <f t="shared" si="240"/>
        <v>398.16</v>
      </c>
      <c r="AJ146" s="482">
        <f t="shared" si="241"/>
        <v>0</v>
      </c>
      <c r="AK146" s="482">
        <f t="shared" si="242"/>
        <v>198.8</v>
      </c>
      <c r="AL146" s="482">
        <f t="shared" si="243"/>
        <v>66.36</v>
      </c>
      <c r="AM146" s="482">
        <f t="shared" si="244"/>
        <v>265.16000000000003</v>
      </c>
      <c r="AN146" s="482">
        <f t="shared" si="245"/>
        <v>133</v>
      </c>
      <c r="AO146" s="482">
        <f t="shared" si="246"/>
        <v>331.8</v>
      </c>
      <c r="AP146" s="482">
        <f t="shared" si="247"/>
        <v>199.36</v>
      </c>
      <c r="AQ146" s="482">
        <f t="shared" si="248"/>
        <v>398.16</v>
      </c>
      <c r="AR146" s="482">
        <f t="shared" si="249"/>
        <v>0</v>
      </c>
      <c r="AS146" s="482">
        <f t="shared" si="250"/>
        <v>198.8</v>
      </c>
      <c r="AT146" s="482">
        <f t="shared" si="251"/>
        <v>66.36</v>
      </c>
      <c r="AU146" s="482">
        <f t="shared" si="252"/>
        <v>265.16000000000003</v>
      </c>
      <c r="AV146" s="482">
        <f t="shared" si="253"/>
        <v>133</v>
      </c>
      <c r="AW146" s="482">
        <f t="shared" si="254"/>
        <v>331.8</v>
      </c>
      <c r="AX146" s="482">
        <f t="shared" si="255"/>
        <v>199.36</v>
      </c>
      <c r="AY146" s="482">
        <f t="shared" si="256"/>
        <v>398.16</v>
      </c>
      <c r="AZ146" s="482">
        <f t="shared" si="257"/>
        <v>0</v>
      </c>
      <c r="BA146" s="482">
        <f t="shared" si="258"/>
        <v>198.8</v>
      </c>
      <c r="BB146" s="482">
        <f t="shared" si="259"/>
        <v>66.36</v>
      </c>
      <c r="BC146" s="482">
        <f t="shared" si="260"/>
        <v>265.16000000000003</v>
      </c>
      <c r="BD146" s="482">
        <f t="shared" si="261"/>
        <v>133</v>
      </c>
      <c r="BE146" s="482">
        <f t="shared" si="262"/>
        <v>331.8</v>
      </c>
      <c r="BF146" s="482">
        <f t="shared" si="263"/>
        <v>199.36</v>
      </c>
      <c r="BG146" s="482">
        <f t="shared" si="264"/>
        <v>398.16</v>
      </c>
    </row>
    <row r="147" spans="1:59">
      <c r="A147" s="213" t="s">
        <v>5317</v>
      </c>
      <c r="B147" s="231">
        <v>616843184</v>
      </c>
      <c r="C147" s="210" t="s">
        <v>5284</v>
      </c>
      <c r="D147" s="210">
        <v>1</v>
      </c>
      <c r="F147" s="239" t="str" cm="1">
        <f t="array" aca="1" ref="F147" ca="1">MID(met2utc(PEPSSI_Commanding[[#This Row],[MET]]),3,15)</f>
        <v>25-219/03:27:48</v>
      </c>
      <c r="G147" s="213" t="str">
        <f t="shared" si="215"/>
        <v>STAT+1</v>
      </c>
      <c r="H147" s="214">
        <f t="shared" si="216"/>
        <v>616843136</v>
      </c>
      <c r="I147" s="214">
        <f t="shared" si="217"/>
        <v>616844816</v>
      </c>
      <c r="J147" s="213">
        <f t="shared" si="218"/>
        <v>5</v>
      </c>
      <c r="K147" s="213">
        <f t="shared" si="219"/>
        <v>5</v>
      </c>
      <c r="M147" s="210">
        <f t="shared" si="220"/>
        <v>10</v>
      </c>
      <c r="N147" s="210">
        <f t="shared" si="221"/>
        <v>10</v>
      </c>
      <c r="O147" s="210">
        <f t="shared" si="222"/>
        <v>300</v>
      </c>
      <c r="P147" s="210">
        <f t="shared" si="223"/>
        <v>1</v>
      </c>
      <c r="Q147" s="210" t="str">
        <f t="shared" si="224"/>
        <v/>
      </c>
      <c r="R147" s="210" t="str">
        <f t="shared" si="225"/>
        <v/>
      </c>
      <c r="S147" s="210" t="str">
        <f t="shared" si="226"/>
        <v/>
      </c>
      <c r="U147" s="482">
        <f t="shared" si="227"/>
        <v>0</v>
      </c>
      <c r="V147" s="482">
        <f t="shared" si="228"/>
        <v>0</v>
      </c>
      <c r="W147" s="482">
        <f t="shared" si="229"/>
        <v>512</v>
      </c>
      <c r="X147" s="482">
        <f t="shared" si="230"/>
        <v>198.8</v>
      </c>
      <c r="Y147" s="482">
        <f t="shared" si="231"/>
        <v>133</v>
      </c>
      <c r="Z147" s="482">
        <f t="shared" si="232"/>
        <v>133</v>
      </c>
      <c r="AA147" s="482">
        <f t="shared" si="233"/>
        <v>66.36</v>
      </c>
      <c r="AB147" s="243"/>
      <c r="AC147" s="482">
        <f t="shared" si="234"/>
        <v>198.8</v>
      </c>
      <c r="AD147" s="482">
        <f t="shared" si="235"/>
        <v>66.36</v>
      </c>
      <c r="AE147" s="482">
        <f t="shared" si="236"/>
        <v>265.16000000000003</v>
      </c>
      <c r="AF147" s="482">
        <f t="shared" si="237"/>
        <v>133</v>
      </c>
      <c r="AG147" s="482">
        <f t="shared" si="238"/>
        <v>331.8</v>
      </c>
      <c r="AH147" s="482">
        <f t="shared" si="239"/>
        <v>199.36</v>
      </c>
      <c r="AI147" s="482">
        <f t="shared" si="240"/>
        <v>398.16</v>
      </c>
      <c r="AJ147" s="482">
        <f t="shared" si="241"/>
        <v>0</v>
      </c>
      <c r="AK147" s="482">
        <f t="shared" si="242"/>
        <v>198.8</v>
      </c>
      <c r="AL147" s="482">
        <f t="shared" si="243"/>
        <v>66.36</v>
      </c>
      <c r="AM147" s="482">
        <f t="shared" si="244"/>
        <v>265.16000000000003</v>
      </c>
      <c r="AN147" s="482">
        <f t="shared" si="245"/>
        <v>133</v>
      </c>
      <c r="AO147" s="482">
        <f t="shared" si="246"/>
        <v>331.8</v>
      </c>
      <c r="AP147" s="482">
        <f t="shared" si="247"/>
        <v>199.36</v>
      </c>
      <c r="AQ147" s="482">
        <f t="shared" si="248"/>
        <v>398.16</v>
      </c>
      <c r="AR147" s="482">
        <f t="shared" si="249"/>
        <v>512</v>
      </c>
      <c r="AS147" s="482">
        <f t="shared" si="250"/>
        <v>710.8</v>
      </c>
      <c r="AT147" s="482">
        <f t="shared" si="251"/>
        <v>578.36</v>
      </c>
      <c r="AU147" s="482">
        <f t="shared" si="252"/>
        <v>777.16000000000008</v>
      </c>
      <c r="AV147" s="482">
        <f t="shared" si="253"/>
        <v>645</v>
      </c>
      <c r="AW147" s="482">
        <f t="shared" si="254"/>
        <v>843.8</v>
      </c>
      <c r="AX147" s="482">
        <f t="shared" si="255"/>
        <v>711.36</v>
      </c>
      <c r="AY147" s="482">
        <f t="shared" si="256"/>
        <v>910.16000000000008</v>
      </c>
      <c r="AZ147" s="482">
        <f t="shared" si="257"/>
        <v>512</v>
      </c>
      <c r="BA147" s="482">
        <f t="shared" si="258"/>
        <v>710.8</v>
      </c>
      <c r="BB147" s="482">
        <f t="shared" si="259"/>
        <v>578.36</v>
      </c>
      <c r="BC147" s="482">
        <f t="shared" si="260"/>
        <v>777.16000000000008</v>
      </c>
      <c r="BD147" s="482">
        <f t="shared" si="261"/>
        <v>645</v>
      </c>
      <c r="BE147" s="482">
        <f t="shared" si="262"/>
        <v>843.8</v>
      </c>
      <c r="BF147" s="482">
        <f t="shared" si="263"/>
        <v>711.36</v>
      </c>
      <c r="BG147" s="482">
        <f t="shared" si="264"/>
        <v>910.16000000000008</v>
      </c>
    </row>
    <row r="148" spans="1:59">
      <c r="A148" s="213" t="s">
        <v>5316</v>
      </c>
      <c r="B148" s="231">
        <v>616844667</v>
      </c>
      <c r="C148" s="210" t="s">
        <v>61</v>
      </c>
      <c r="D148" s="210">
        <v>40</v>
      </c>
      <c r="F148" s="239" t="str" cm="1">
        <f t="array" aca="1" ref="F148" ca="1">MID(met2utc(PEPSSI_Commanding[[#This Row],[MET]]),3,15)</f>
        <v>25-219/03:52:31</v>
      </c>
      <c r="G148" s="213" t="str">
        <f t="shared" si="215"/>
        <v>N2+40</v>
      </c>
      <c r="H148" s="214">
        <f t="shared" si="216"/>
        <v>616843136</v>
      </c>
      <c r="I148" s="214">
        <f t="shared" si="217"/>
        <v>616844816</v>
      </c>
      <c r="J148" s="213">
        <f t="shared" si="218"/>
        <v>6</v>
      </c>
      <c r="K148" s="213">
        <f t="shared" si="219"/>
        <v>4</v>
      </c>
      <c r="M148" s="210">
        <f t="shared" si="220"/>
        <v>10</v>
      </c>
      <c r="N148" s="210">
        <f t="shared" si="221"/>
        <v>40</v>
      </c>
      <c r="O148" s="210">
        <f t="shared" si="222"/>
        <v>300</v>
      </c>
      <c r="P148" s="210">
        <f t="shared" si="223"/>
        <v>1</v>
      </c>
      <c r="Q148" s="210" t="str">
        <f t="shared" si="224"/>
        <v/>
      </c>
      <c r="R148" s="210" t="str">
        <f t="shared" si="225"/>
        <v/>
      </c>
      <c r="S148" s="210" t="str">
        <f t="shared" si="226"/>
        <v/>
      </c>
      <c r="U148" s="482">
        <f t="shared" si="227"/>
        <v>0</v>
      </c>
      <c r="V148" s="482">
        <f t="shared" si="228"/>
        <v>0</v>
      </c>
      <c r="W148" s="482">
        <f t="shared" si="229"/>
        <v>512</v>
      </c>
      <c r="X148" s="482">
        <f t="shared" si="230"/>
        <v>198.8</v>
      </c>
      <c r="Y148" s="482">
        <f t="shared" si="231"/>
        <v>33.25</v>
      </c>
      <c r="Z148" s="482">
        <f t="shared" si="232"/>
        <v>33.25</v>
      </c>
      <c r="AA148" s="482">
        <f t="shared" si="233"/>
        <v>66.36</v>
      </c>
      <c r="AB148" s="243"/>
      <c r="AC148" s="482">
        <f t="shared" si="234"/>
        <v>198.8</v>
      </c>
      <c r="AD148" s="482">
        <f t="shared" si="235"/>
        <v>66.36</v>
      </c>
      <c r="AE148" s="482">
        <f t="shared" si="236"/>
        <v>265.16000000000003</v>
      </c>
      <c r="AF148" s="482">
        <f t="shared" si="237"/>
        <v>33.25</v>
      </c>
      <c r="AG148" s="482">
        <f t="shared" si="238"/>
        <v>232.05</v>
      </c>
      <c r="AH148" s="482">
        <f t="shared" si="239"/>
        <v>99.61</v>
      </c>
      <c r="AI148" s="482">
        <f t="shared" si="240"/>
        <v>298.41000000000003</v>
      </c>
      <c r="AJ148" s="482">
        <f t="shared" si="241"/>
        <v>0</v>
      </c>
      <c r="AK148" s="482">
        <f t="shared" si="242"/>
        <v>198.8</v>
      </c>
      <c r="AL148" s="482">
        <f t="shared" si="243"/>
        <v>66.36</v>
      </c>
      <c r="AM148" s="482">
        <f t="shared" si="244"/>
        <v>265.16000000000003</v>
      </c>
      <c r="AN148" s="482">
        <f t="shared" si="245"/>
        <v>33.25</v>
      </c>
      <c r="AO148" s="482">
        <f t="shared" si="246"/>
        <v>232.05</v>
      </c>
      <c r="AP148" s="482">
        <f t="shared" si="247"/>
        <v>99.61</v>
      </c>
      <c r="AQ148" s="482">
        <f t="shared" si="248"/>
        <v>298.41000000000003</v>
      </c>
      <c r="AR148" s="482">
        <f t="shared" si="249"/>
        <v>512</v>
      </c>
      <c r="AS148" s="482">
        <f t="shared" si="250"/>
        <v>710.8</v>
      </c>
      <c r="AT148" s="482">
        <f t="shared" si="251"/>
        <v>578.36</v>
      </c>
      <c r="AU148" s="482">
        <f t="shared" si="252"/>
        <v>777.16000000000008</v>
      </c>
      <c r="AV148" s="482">
        <f t="shared" si="253"/>
        <v>545.25</v>
      </c>
      <c r="AW148" s="482">
        <f t="shared" si="254"/>
        <v>744.05</v>
      </c>
      <c r="AX148" s="482">
        <f t="shared" si="255"/>
        <v>611.61</v>
      </c>
      <c r="AY148" s="482">
        <f t="shared" si="256"/>
        <v>810.41000000000008</v>
      </c>
      <c r="AZ148" s="482">
        <f t="shared" si="257"/>
        <v>512</v>
      </c>
      <c r="BA148" s="482">
        <f t="shared" si="258"/>
        <v>710.8</v>
      </c>
      <c r="BB148" s="482">
        <f t="shared" si="259"/>
        <v>578.36</v>
      </c>
      <c r="BC148" s="482">
        <f t="shared" si="260"/>
        <v>777.16000000000008</v>
      </c>
      <c r="BD148" s="482">
        <f t="shared" si="261"/>
        <v>545.25</v>
      </c>
      <c r="BE148" s="482">
        <f t="shared" si="262"/>
        <v>744.05</v>
      </c>
      <c r="BF148" s="482">
        <f t="shared" si="263"/>
        <v>611.61</v>
      </c>
      <c r="BG148" s="482">
        <f t="shared" si="264"/>
        <v>810.41000000000008</v>
      </c>
    </row>
    <row r="149" spans="1:59">
      <c r="A149" s="213" t="s">
        <v>5316</v>
      </c>
      <c r="B149" s="231">
        <v>616844668</v>
      </c>
      <c r="C149" s="210" t="s">
        <v>58</v>
      </c>
      <c r="D149" s="210">
        <v>7200</v>
      </c>
      <c r="F149" s="239" t="str" cm="1">
        <f t="array" aca="1" ref="F149" ca="1">MID(met2utc(PEPSSI_Commanding[[#This Row],[MET]]),3,15)</f>
        <v>25-219/03:52:32</v>
      </c>
      <c r="G149" s="213" t="str">
        <f t="shared" si="215"/>
        <v>N3+7200</v>
      </c>
      <c r="H149" s="214">
        <f t="shared" si="216"/>
        <v>616843136</v>
      </c>
      <c r="I149" s="214">
        <f t="shared" si="217"/>
        <v>616844816</v>
      </c>
      <c r="J149" s="213">
        <f t="shared" si="218"/>
        <v>7</v>
      </c>
      <c r="K149" s="213">
        <f t="shared" si="219"/>
        <v>3</v>
      </c>
      <c r="M149" s="210">
        <f t="shared" si="220"/>
        <v>10</v>
      </c>
      <c r="N149" s="210">
        <f t="shared" si="221"/>
        <v>40</v>
      </c>
      <c r="O149" s="210">
        <f t="shared" si="222"/>
        <v>7200</v>
      </c>
      <c r="P149" s="210">
        <f t="shared" si="223"/>
        <v>1</v>
      </c>
      <c r="Q149" s="210" t="str">
        <f t="shared" si="224"/>
        <v/>
      </c>
      <c r="R149" s="210" t="str">
        <f t="shared" si="225"/>
        <v/>
      </c>
      <c r="S149" s="210" t="str">
        <f t="shared" si="226"/>
        <v/>
      </c>
      <c r="U149" s="482">
        <f t="shared" si="227"/>
        <v>0</v>
      </c>
      <c r="V149" s="482">
        <f t="shared" si="228"/>
        <v>0</v>
      </c>
      <c r="W149" s="482">
        <f t="shared" si="229"/>
        <v>512</v>
      </c>
      <c r="X149" s="482">
        <f t="shared" si="230"/>
        <v>198.8</v>
      </c>
      <c r="Y149" s="482">
        <f t="shared" si="231"/>
        <v>33.25</v>
      </c>
      <c r="Z149" s="482">
        <f t="shared" si="232"/>
        <v>33.25</v>
      </c>
      <c r="AA149" s="482">
        <f t="shared" si="233"/>
        <v>2.7650000000000001</v>
      </c>
      <c r="AB149" s="243"/>
      <c r="AC149" s="482">
        <f t="shared" si="234"/>
        <v>198.8</v>
      </c>
      <c r="AD149" s="482">
        <f t="shared" si="235"/>
        <v>2.7650000000000001</v>
      </c>
      <c r="AE149" s="482">
        <f t="shared" si="236"/>
        <v>201.565</v>
      </c>
      <c r="AF149" s="482">
        <f t="shared" si="237"/>
        <v>33.25</v>
      </c>
      <c r="AG149" s="482">
        <f t="shared" si="238"/>
        <v>232.05</v>
      </c>
      <c r="AH149" s="482">
        <f t="shared" si="239"/>
        <v>36.015000000000001</v>
      </c>
      <c r="AI149" s="482">
        <f t="shared" si="240"/>
        <v>234.815</v>
      </c>
      <c r="AJ149" s="482">
        <f t="shared" si="241"/>
        <v>0</v>
      </c>
      <c r="AK149" s="482">
        <f t="shared" si="242"/>
        <v>198.8</v>
      </c>
      <c r="AL149" s="482">
        <f t="shared" si="243"/>
        <v>2.7650000000000001</v>
      </c>
      <c r="AM149" s="482">
        <f t="shared" si="244"/>
        <v>201.565</v>
      </c>
      <c r="AN149" s="482">
        <f t="shared" si="245"/>
        <v>33.25</v>
      </c>
      <c r="AO149" s="482">
        <f t="shared" si="246"/>
        <v>232.05</v>
      </c>
      <c r="AP149" s="482">
        <f t="shared" si="247"/>
        <v>36.015000000000001</v>
      </c>
      <c r="AQ149" s="482">
        <f t="shared" si="248"/>
        <v>234.815</v>
      </c>
      <c r="AR149" s="482">
        <f t="shared" si="249"/>
        <v>512</v>
      </c>
      <c r="AS149" s="482">
        <f t="shared" si="250"/>
        <v>710.8</v>
      </c>
      <c r="AT149" s="482">
        <f t="shared" si="251"/>
        <v>514.76499999999999</v>
      </c>
      <c r="AU149" s="482">
        <f t="shared" si="252"/>
        <v>713.56500000000005</v>
      </c>
      <c r="AV149" s="482">
        <f t="shared" si="253"/>
        <v>545.25</v>
      </c>
      <c r="AW149" s="482">
        <f t="shared" si="254"/>
        <v>744.05</v>
      </c>
      <c r="AX149" s="482">
        <f t="shared" si="255"/>
        <v>548.01499999999999</v>
      </c>
      <c r="AY149" s="482">
        <f t="shared" si="256"/>
        <v>746.81500000000005</v>
      </c>
      <c r="AZ149" s="482">
        <f t="shared" si="257"/>
        <v>512</v>
      </c>
      <c r="BA149" s="482">
        <f t="shared" si="258"/>
        <v>710.8</v>
      </c>
      <c r="BB149" s="482">
        <f t="shared" si="259"/>
        <v>514.76499999999999</v>
      </c>
      <c r="BC149" s="482">
        <f t="shared" si="260"/>
        <v>713.56500000000005</v>
      </c>
      <c r="BD149" s="482">
        <f t="shared" si="261"/>
        <v>545.25</v>
      </c>
      <c r="BE149" s="482">
        <f t="shared" si="262"/>
        <v>744.05</v>
      </c>
      <c r="BF149" s="482">
        <f t="shared" si="263"/>
        <v>548.01499999999999</v>
      </c>
      <c r="BG149" s="482">
        <f t="shared" si="264"/>
        <v>746.81500000000005</v>
      </c>
    </row>
    <row r="150" spans="1:59">
      <c r="A150" s="213" t="s">
        <v>5316</v>
      </c>
      <c r="B150" s="231">
        <v>616844669</v>
      </c>
      <c r="C150" s="210" t="s">
        <v>1</v>
      </c>
      <c r="D150" s="210">
        <v>3600</v>
      </c>
      <c r="F150" s="239" t="str" cm="1">
        <f t="array" aca="1" ref="F150" ca="1">MID(met2utc(PEPSSI_Commanding[[#This Row],[MET]]),3,15)</f>
        <v>25-219/03:52:33</v>
      </c>
      <c r="G150" s="213" t="str">
        <f t="shared" si="215"/>
        <v>N1+3600</v>
      </c>
      <c r="H150" s="214">
        <f t="shared" si="216"/>
        <v>616843136</v>
      </c>
      <c r="I150" s="214">
        <f t="shared" si="217"/>
        <v>616844816</v>
      </c>
      <c r="J150" s="213">
        <f t="shared" si="218"/>
        <v>8</v>
      </c>
      <c r="K150" s="213">
        <f t="shared" si="219"/>
        <v>2</v>
      </c>
      <c r="M150" s="210">
        <f t="shared" si="220"/>
        <v>3600</v>
      </c>
      <c r="N150" s="210">
        <f t="shared" si="221"/>
        <v>40</v>
      </c>
      <c r="O150" s="210">
        <f t="shared" si="222"/>
        <v>7200</v>
      </c>
      <c r="P150" s="210">
        <f t="shared" si="223"/>
        <v>1</v>
      </c>
      <c r="Q150" s="210" t="str">
        <f t="shared" si="224"/>
        <v/>
      </c>
      <c r="R150" s="210" t="str">
        <f t="shared" si="225"/>
        <v/>
      </c>
      <c r="S150" s="210" t="str">
        <f t="shared" si="226"/>
        <v/>
      </c>
      <c r="U150" s="482">
        <f t="shared" si="227"/>
        <v>0</v>
      </c>
      <c r="V150" s="482">
        <f t="shared" si="228"/>
        <v>0</v>
      </c>
      <c r="W150" s="482">
        <f t="shared" si="229"/>
        <v>512</v>
      </c>
      <c r="X150" s="482">
        <f t="shared" si="230"/>
        <v>0.55222222222222217</v>
      </c>
      <c r="Y150" s="482">
        <f t="shared" si="231"/>
        <v>33.25</v>
      </c>
      <c r="Z150" s="482">
        <f t="shared" si="232"/>
        <v>33.25</v>
      </c>
      <c r="AA150" s="482">
        <f t="shared" si="233"/>
        <v>2.7650000000000001</v>
      </c>
      <c r="AB150" s="243"/>
      <c r="AC150" s="482">
        <f t="shared" si="234"/>
        <v>0.55222222222222217</v>
      </c>
      <c r="AD150" s="482">
        <f t="shared" si="235"/>
        <v>2.7650000000000001</v>
      </c>
      <c r="AE150" s="482">
        <f t="shared" si="236"/>
        <v>3.3172222222222221</v>
      </c>
      <c r="AF150" s="482">
        <f t="shared" si="237"/>
        <v>33.25</v>
      </c>
      <c r="AG150" s="482">
        <f t="shared" si="238"/>
        <v>33.80222222222222</v>
      </c>
      <c r="AH150" s="482">
        <f t="shared" si="239"/>
        <v>36.015000000000001</v>
      </c>
      <c r="AI150" s="482">
        <f t="shared" si="240"/>
        <v>36.56722222222222</v>
      </c>
      <c r="AJ150" s="482">
        <f t="shared" si="241"/>
        <v>0</v>
      </c>
      <c r="AK150" s="482">
        <f t="shared" si="242"/>
        <v>0.55222222222222217</v>
      </c>
      <c r="AL150" s="482">
        <f t="shared" si="243"/>
        <v>2.7650000000000001</v>
      </c>
      <c r="AM150" s="482">
        <f t="shared" si="244"/>
        <v>3.3172222222222221</v>
      </c>
      <c r="AN150" s="482">
        <f t="shared" si="245"/>
        <v>33.25</v>
      </c>
      <c r="AO150" s="482">
        <f t="shared" si="246"/>
        <v>33.80222222222222</v>
      </c>
      <c r="AP150" s="482">
        <f t="shared" si="247"/>
        <v>36.015000000000001</v>
      </c>
      <c r="AQ150" s="482">
        <f t="shared" si="248"/>
        <v>36.56722222222222</v>
      </c>
      <c r="AR150" s="482">
        <f t="shared" si="249"/>
        <v>512</v>
      </c>
      <c r="AS150" s="482">
        <f t="shared" si="250"/>
        <v>512.55222222222221</v>
      </c>
      <c r="AT150" s="482">
        <f t="shared" si="251"/>
        <v>514.76499999999999</v>
      </c>
      <c r="AU150" s="482">
        <f t="shared" si="252"/>
        <v>515.3172222222222</v>
      </c>
      <c r="AV150" s="482">
        <f t="shared" si="253"/>
        <v>545.25</v>
      </c>
      <c r="AW150" s="482">
        <f t="shared" si="254"/>
        <v>545.80222222222221</v>
      </c>
      <c r="AX150" s="482">
        <f t="shared" si="255"/>
        <v>548.01499999999999</v>
      </c>
      <c r="AY150" s="482">
        <f t="shared" si="256"/>
        <v>548.5672222222222</v>
      </c>
      <c r="AZ150" s="482">
        <f t="shared" si="257"/>
        <v>512</v>
      </c>
      <c r="BA150" s="482">
        <f t="shared" si="258"/>
        <v>512.55222222222221</v>
      </c>
      <c r="BB150" s="482">
        <f t="shared" si="259"/>
        <v>514.76499999999999</v>
      </c>
      <c r="BC150" s="482">
        <f t="shared" si="260"/>
        <v>515.3172222222222</v>
      </c>
      <c r="BD150" s="482">
        <f t="shared" si="261"/>
        <v>545.25</v>
      </c>
      <c r="BE150" s="482">
        <f t="shared" si="262"/>
        <v>545.80222222222221</v>
      </c>
      <c r="BF150" s="482">
        <f t="shared" si="263"/>
        <v>548.01499999999999</v>
      </c>
      <c r="BG150" s="482">
        <f t="shared" si="264"/>
        <v>548.5672222222222</v>
      </c>
    </row>
    <row r="151" spans="1:59">
      <c r="A151" s="213" t="s">
        <v>5317</v>
      </c>
      <c r="B151" s="231">
        <v>616844670</v>
      </c>
      <c r="C151" s="210" t="s">
        <v>5284</v>
      </c>
      <c r="D151" s="210">
        <v>300</v>
      </c>
      <c r="F151" s="239" t="str" cm="1">
        <f t="array" aca="1" ref="F151" ca="1">MID(met2utc(PEPSSI_Commanding[[#This Row],[MET]]),3,15)</f>
        <v>25-219/03:52:34</v>
      </c>
      <c r="G151" s="213" t="str">
        <f t="shared" si="215"/>
        <v>STAT+300</v>
      </c>
      <c r="H151" s="214">
        <f t="shared" si="216"/>
        <v>616843136</v>
      </c>
      <c r="I151" s="214">
        <f t="shared" si="217"/>
        <v>616844816</v>
      </c>
      <c r="J151" s="213">
        <f t="shared" si="218"/>
        <v>9</v>
      </c>
      <c r="K151" s="213">
        <f t="shared" si="219"/>
        <v>1</v>
      </c>
      <c r="M151" s="210">
        <f t="shared" si="220"/>
        <v>3600</v>
      </c>
      <c r="N151" s="210">
        <f t="shared" si="221"/>
        <v>40</v>
      </c>
      <c r="O151" s="210">
        <f t="shared" si="222"/>
        <v>7200</v>
      </c>
      <c r="P151" s="210">
        <f t="shared" si="223"/>
        <v>300</v>
      </c>
      <c r="Q151" s="210" t="str">
        <f t="shared" si="224"/>
        <v/>
      </c>
      <c r="R151" s="210" t="str">
        <f t="shared" si="225"/>
        <v/>
      </c>
      <c r="S151" s="210" t="str">
        <f t="shared" si="226"/>
        <v/>
      </c>
      <c r="U151" s="482">
        <f t="shared" si="227"/>
        <v>0</v>
      </c>
      <c r="V151" s="482">
        <f t="shared" si="228"/>
        <v>0</v>
      </c>
      <c r="W151" s="482">
        <f t="shared" si="229"/>
        <v>1.7066666666666668</v>
      </c>
      <c r="X151" s="482">
        <f t="shared" si="230"/>
        <v>0.55222222222222217</v>
      </c>
      <c r="Y151" s="482">
        <f t="shared" si="231"/>
        <v>33.25</v>
      </c>
      <c r="Z151" s="482">
        <f t="shared" si="232"/>
        <v>33.25</v>
      </c>
      <c r="AA151" s="482">
        <f t="shared" si="233"/>
        <v>2.7650000000000001</v>
      </c>
      <c r="AB151" s="243"/>
      <c r="AC151" s="482">
        <f t="shared" si="234"/>
        <v>0.55222222222222217</v>
      </c>
      <c r="AD151" s="482">
        <f t="shared" si="235"/>
        <v>2.7650000000000001</v>
      </c>
      <c r="AE151" s="482">
        <f t="shared" si="236"/>
        <v>3.3172222222222221</v>
      </c>
      <c r="AF151" s="482">
        <f t="shared" si="237"/>
        <v>33.25</v>
      </c>
      <c r="AG151" s="482">
        <f t="shared" si="238"/>
        <v>33.80222222222222</v>
      </c>
      <c r="AH151" s="482">
        <f t="shared" si="239"/>
        <v>36.015000000000001</v>
      </c>
      <c r="AI151" s="482">
        <f t="shared" si="240"/>
        <v>36.56722222222222</v>
      </c>
      <c r="AJ151" s="482">
        <f t="shared" si="241"/>
        <v>0</v>
      </c>
      <c r="AK151" s="482">
        <f t="shared" si="242"/>
        <v>0.55222222222222217</v>
      </c>
      <c r="AL151" s="482">
        <f t="shared" si="243"/>
        <v>2.7650000000000001</v>
      </c>
      <c r="AM151" s="482">
        <f t="shared" si="244"/>
        <v>3.3172222222222221</v>
      </c>
      <c r="AN151" s="482">
        <f t="shared" si="245"/>
        <v>33.25</v>
      </c>
      <c r="AO151" s="482">
        <f t="shared" si="246"/>
        <v>33.80222222222222</v>
      </c>
      <c r="AP151" s="482">
        <f t="shared" si="247"/>
        <v>36.015000000000001</v>
      </c>
      <c r="AQ151" s="482">
        <f t="shared" si="248"/>
        <v>36.56722222222222</v>
      </c>
      <c r="AR151" s="482">
        <f t="shared" si="249"/>
        <v>1.7066666666666668</v>
      </c>
      <c r="AS151" s="482">
        <f t="shared" si="250"/>
        <v>2.2588888888888889</v>
      </c>
      <c r="AT151" s="482">
        <f t="shared" si="251"/>
        <v>4.4716666666666667</v>
      </c>
      <c r="AU151" s="482">
        <f t="shared" si="252"/>
        <v>5.0238888888888891</v>
      </c>
      <c r="AV151" s="482">
        <f t="shared" si="253"/>
        <v>34.956666666666663</v>
      </c>
      <c r="AW151" s="482">
        <f t="shared" si="254"/>
        <v>35.508888888888883</v>
      </c>
      <c r="AX151" s="482">
        <f t="shared" si="255"/>
        <v>37.721666666666664</v>
      </c>
      <c r="AY151" s="482">
        <f t="shared" si="256"/>
        <v>38.273888888888884</v>
      </c>
      <c r="AZ151" s="482">
        <f t="shared" si="257"/>
        <v>1.7066666666666668</v>
      </c>
      <c r="BA151" s="482">
        <f t="shared" si="258"/>
        <v>2.2588888888888889</v>
      </c>
      <c r="BB151" s="482">
        <f t="shared" si="259"/>
        <v>4.4716666666666667</v>
      </c>
      <c r="BC151" s="482">
        <f t="shared" si="260"/>
        <v>5.0238888888888891</v>
      </c>
      <c r="BD151" s="482">
        <f t="shared" si="261"/>
        <v>34.956666666666663</v>
      </c>
      <c r="BE151" s="482">
        <f t="shared" si="262"/>
        <v>35.508888888888883</v>
      </c>
      <c r="BF151" s="482">
        <f t="shared" si="263"/>
        <v>37.721666666666664</v>
      </c>
      <c r="BG151" s="482">
        <f t="shared" si="264"/>
        <v>38.273888888888884</v>
      </c>
    </row>
    <row r="152" spans="1:59">
      <c r="A152" s="213" t="s">
        <v>5316</v>
      </c>
      <c r="B152" s="231">
        <v>616844816</v>
      </c>
      <c r="C152" s="210" t="s">
        <v>61</v>
      </c>
      <c r="D152" s="210">
        <v>360</v>
      </c>
      <c r="F152" s="239" t="str" cm="1">
        <f t="array" aca="1" ref="F152" ca="1">MID(met2utc(PEPSSI_Commanding[[#This Row],[MET]]),3,15)</f>
        <v>25-219/03:55:00</v>
      </c>
      <c r="G152" s="213" t="str">
        <f t="shared" si="215"/>
        <v>N2+360</v>
      </c>
      <c r="H152" s="214">
        <f t="shared" si="216"/>
        <v>616844816</v>
      </c>
      <c r="I152" s="214">
        <f t="shared" si="217"/>
        <v>644287985</v>
      </c>
      <c r="J152" s="213">
        <f t="shared" si="218"/>
        <v>10</v>
      </c>
      <c r="K152" s="213">
        <f t="shared" si="219"/>
        <v>7</v>
      </c>
      <c r="M152" s="210">
        <f t="shared" si="220"/>
        <v>3600</v>
      </c>
      <c r="N152" s="210">
        <f t="shared" si="221"/>
        <v>360</v>
      </c>
      <c r="O152" s="210">
        <f t="shared" si="222"/>
        <v>7200</v>
      </c>
      <c r="P152" s="210">
        <f t="shared" si="223"/>
        <v>300</v>
      </c>
      <c r="Q152" s="210" t="str">
        <f t="shared" si="224"/>
        <v/>
      </c>
      <c r="R152" s="210" t="str">
        <f t="shared" si="225"/>
        <v/>
      </c>
      <c r="S152" s="210" t="str">
        <f t="shared" si="226"/>
        <v/>
      </c>
      <c r="U152" s="482">
        <f t="shared" si="227"/>
        <v>0</v>
      </c>
      <c r="V152" s="482">
        <f t="shared" si="228"/>
        <v>0</v>
      </c>
      <c r="W152" s="482">
        <f t="shared" si="229"/>
        <v>1.7066666666666668</v>
      </c>
      <c r="X152" s="482">
        <f t="shared" si="230"/>
        <v>0.55222222222222217</v>
      </c>
      <c r="Y152" s="482">
        <f t="shared" si="231"/>
        <v>3.6944444444444446</v>
      </c>
      <c r="Z152" s="482">
        <f t="shared" si="232"/>
        <v>3.6944444444444446</v>
      </c>
      <c r="AA152" s="482">
        <f t="shared" si="233"/>
        <v>2.7650000000000001</v>
      </c>
      <c r="AB152" s="243"/>
      <c r="AC152" s="482">
        <f t="shared" si="234"/>
        <v>0.55222222222222217</v>
      </c>
      <c r="AD152" s="482">
        <f t="shared" si="235"/>
        <v>2.7650000000000001</v>
      </c>
      <c r="AE152" s="482">
        <f t="shared" si="236"/>
        <v>3.3172222222222221</v>
      </c>
      <c r="AF152" s="482">
        <f t="shared" si="237"/>
        <v>3.6944444444444446</v>
      </c>
      <c r="AG152" s="482">
        <f t="shared" si="238"/>
        <v>4.246666666666667</v>
      </c>
      <c r="AH152" s="482">
        <f t="shared" si="239"/>
        <v>6.4594444444444452</v>
      </c>
      <c r="AI152" s="482">
        <f t="shared" si="240"/>
        <v>7.0116666666666676</v>
      </c>
      <c r="AJ152" s="482">
        <f t="shared" si="241"/>
        <v>0</v>
      </c>
      <c r="AK152" s="482">
        <f t="shared" si="242"/>
        <v>0.55222222222222217</v>
      </c>
      <c r="AL152" s="482">
        <f t="shared" si="243"/>
        <v>2.7650000000000001</v>
      </c>
      <c r="AM152" s="482">
        <f t="shared" si="244"/>
        <v>3.3172222222222221</v>
      </c>
      <c r="AN152" s="482">
        <f t="shared" si="245"/>
        <v>3.6944444444444446</v>
      </c>
      <c r="AO152" s="482">
        <f t="shared" si="246"/>
        <v>4.246666666666667</v>
      </c>
      <c r="AP152" s="482">
        <f t="shared" si="247"/>
        <v>6.4594444444444452</v>
      </c>
      <c r="AQ152" s="482">
        <f t="shared" si="248"/>
        <v>7.0116666666666676</v>
      </c>
      <c r="AR152" s="482">
        <f t="shared" si="249"/>
        <v>1.7066666666666668</v>
      </c>
      <c r="AS152" s="482">
        <f t="shared" si="250"/>
        <v>2.2588888888888889</v>
      </c>
      <c r="AT152" s="482">
        <f t="shared" si="251"/>
        <v>4.4716666666666667</v>
      </c>
      <c r="AU152" s="482">
        <f t="shared" si="252"/>
        <v>5.0238888888888891</v>
      </c>
      <c r="AV152" s="482">
        <f t="shared" si="253"/>
        <v>5.4011111111111116</v>
      </c>
      <c r="AW152" s="482">
        <f t="shared" si="254"/>
        <v>5.953333333333334</v>
      </c>
      <c r="AX152" s="482">
        <f t="shared" si="255"/>
        <v>8.1661111111111122</v>
      </c>
      <c r="AY152" s="482">
        <f t="shared" si="256"/>
        <v>8.7183333333333337</v>
      </c>
      <c r="AZ152" s="482">
        <f t="shared" si="257"/>
        <v>1.7066666666666668</v>
      </c>
      <c r="BA152" s="482">
        <f t="shared" si="258"/>
        <v>2.2588888888888889</v>
      </c>
      <c r="BB152" s="482">
        <f t="shared" si="259"/>
        <v>4.4716666666666667</v>
      </c>
      <c r="BC152" s="482">
        <f t="shared" si="260"/>
        <v>5.0238888888888891</v>
      </c>
      <c r="BD152" s="482">
        <f t="shared" si="261"/>
        <v>5.4011111111111116</v>
      </c>
      <c r="BE152" s="482">
        <f t="shared" si="262"/>
        <v>5.953333333333334</v>
      </c>
      <c r="BF152" s="482">
        <f t="shared" si="263"/>
        <v>8.1661111111111122</v>
      </c>
      <c r="BG152" s="482">
        <f t="shared" si="264"/>
        <v>8.7183333333333337</v>
      </c>
    </row>
    <row r="153" spans="1:59">
      <c r="A153" s="213" t="s">
        <v>5316</v>
      </c>
      <c r="B153" s="231">
        <v>616844819</v>
      </c>
      <c r="C153" s="210" t="s">
        <v>1</v>
      </c>
      <c r="D153" s="210">
        <v>360</v>
      </c>
      <c r="F153" s="239" t="str" cm="1">
        <f t="array" aca="1" ref="F153" ca="1">MID(met2utc(PEPSSI_Commanding[[#This Row],[MET]]),3,15)</f>
        <v>25-219/03:55:03</v>
      </c>
      <c r="G153" s="213" t="str">
        <f t="shared" si="215"/>
        <v>N1+360</v>
      </c>
      <c r="H153" s="214">
        <f t="shared" si="216"/>
        <v>616844816</v>
      </c>
      <c r="I153" s="214">
        <f t="shared" si="217"/>
        <v>644287985</v>
      </c>
      <c r="J153" s="213">
        <f t="shared" si="218"/>
        <v>11</v>
      </c>
      <c r="K153" s="213">
        <f t="shared" si="219"/>
        <v>6</v>
      </c>
      <c r="M153" s="210">
        <f t="shared" si="220"/>
        <v>360</v>
      </c>
      <c r="N153" s="210">
        <f t="shared" si="221"/>
        <v>360</v>
      </c>
      <c r="O153" s="210">
        <f t="shared" si="222"/>
        <v>7200</v>
      </c>
      <c r="P153" s="210">
        <f t="shared" si="223"/>
        <v>300</v>
      </c>
      <c r="Q153" s="210" t="str">
        <f t="shared" si="224"/>
        <v/>
      </c>
      <c r="R153" s="210" t="str">
        <f t="shared" si="225"/>
        <v/>
      </c>
      <c r="S153" s="210" t="str">
        <f t="shared" si="226"/>
        <v/>
      </c>
      <c r="U153" s="482">
        <f t="shared" si="227"/>
        <v>0</v>
      </c>
      <c r="V153" s="482">
        <f t="shared" si="228"/>
        <v>0</v>
      </c>
      <c r="W153" s="482">
        <f t="shared" si="229"/>
        <v>1.7066666666666668</v>
      </c>
      <c r="X153" s="482">
        <f t="shared" si="230"/>
        <v>5.5222222222222221</v>
      </c>
      <c r="Y153" s="482">
        <f t="shared" si="231"/>
        <v>3.6944444444444446</v>
      </c>
      <c r="Z153" s="482">
        <f t="shared" si="232"/>
        <v>3.6944444444444446</v>
      </c>
      <c r="AA153" s="482">
        <f t="shared" si="233"/>
        <v>2.7650000000000001</v>
      </c>
      <c r="AB153" s="243"/>
      <c r="AC153" s="482">
        <f t="shared" si="234"/>
        <v>5.5222222222222221</v>
      </c>
      <c r="AD153" s="482">
        <f t="shared" si="235"/>
        <v>2.7650000000000001</v>
      </c>
      <c r="AE153" s="482">
        <f t="shared" si="236"/>
        <v>8.2872222222222227</v>
      </c>
      <c r="AF153" s="482">
        <f t="shared" si="237"/>
        <v>3.6944444444444446</v>
      </c>
      <c r="AG153" s="482">
        <f t="shared" si="238"/>
        <v>9.2166666666666668</v>
      </c>
      <c r="AH153" s="482">
        <f t="shared" si="239"/>
        <v>6.4594444444444452</v>
      </c>
      <c r="AI153" s="482">
        <f t="shared" si="240"/>
        <v>11.981666666666667</v>
      </c>
      <c r="AJ153" s="482">
        <f t="shared" si="241"/>
        <v>0</v>
      </c>
      <c r="AK153" s="482">
        <f t="shared" si="242"/>
        <v>5.5222222222222221</v>
      </c>
      <c r="AL153" s="482">
        <f t="shared" si="243"/>
        <v>2.7650000000000001</v>
      </c>
      <c r="AM153" s="482">
        <f t="shared" si="244"/>
        <v>8.2872222222222227</v>
      </c>
      <c r="AN153" s="482">
        <f t="shared" si="245"/>
        <v>3.6944444444444446</v>
      </c>
      <c r="AO153" s="482">
        <f t="shared" si="246"/>
        <v>9.2166666666666668</v>
      </c>
      <c r="AP153" s="482">
        <f t="shared" si="247"/>
        <v>6.4594444444444452</v>
      </c>
      <c r="AQ153" s="482">
        <f t="shared" si="248"/>
        <v>11.981666666666667</v>
      </c>
      <c r="AR153" s="482">
        <f t="shared" si="249"/>
        <v>1.7066666666666668</v>
      </c>
      <c r="AS153" s="482">
        <f t="shared" si="250"/>
        <v>7.2288888888888891</v>
      </c>
      <c r="AT153" s="482">
        <f t="shared" si="251"/>
        <v>4.4716666666666667</v>
      </c>
      <c r="AU153" s="482">
        <f t="shared" si="252"/>
        <v>9.9938888888888897</v>
      </c>
      <c r="AV153" s="482">
        <f t="shared" si="253"/>
        <v>5.4011111111111116</v>
      </c>
      <c r="AW153" s="482">
        <f t="shared" si="254"/>
        <v>10.923333333333334</v>
      </c>
      <c r="AX153" s="482">
        <f t="shared" si="255"/>
        <v>8.1661111111111122</v>
      </c>
      <c r="AY153" s="482">
        <f t="shared" si="256"/>
        <v>13.688333333333334</v>
      </c>
      <c r="AZ153" s="482">
        <f t="shared" si="257"/>
        <v>1.7066666666666668</v>
      </c>
      <c r="BA153" s="482">
        <f t="shared" si="258"/>
        <v>7.2288888888888891</v>
      </c>
      <c r="BB153" s="482">
        <f t="shared" si="259"/>
        <v>4.4716666666666667</v>
      </c>
      <c r="BC153" s="482">
        <f t="shared" si="260"/>
        <v>9.9938888888888897</v>
      </c>
      <c r="BD153" s="482">
        <f t="shared" si="261"/>
        <v>5.4011111111111116</v>
      </c>
      <c r="BE153" s="482">
        <f t="shared" si="262"/>
        <v>10.923333333333334</v>
      </c>
      <c r="BF153" s="482">
        <f t="shared" si="263"/>
        <v>8.1661111111111122</v>
      </c>
      <c r="BG153" s="482">
        <f t="shared" si="264"/>
        <v>13.688333333333334</v>
      </c>
    </row>
    <row r="154" spans="1:59">
      <c r="A154" s="213" t="s">
        <v>5316</v>
      </c>
      <c r="B154" s="231">
        <v>616844822</v>
      </c>
      <c r="C154" s="210" t="s">
        <v>58</v>
      </c>
      <c r="D154" s="210">
        <v>900</v>
      </c>
      <c r="F154" s="239" t="str" cm="1">
        <f t="array" aca="1" ref="F154" ca="1">MID(met2utc(PEPSSI_Commanding[[#This Row],[MET]]),3,15)</f>
        <v>25-219/03:55:06</v>
      </c>
      <c r="G154" s="213" t="str">
        <f t="shared" si="215"/>
        <v>N3+900</v>
      </c>
      <c r="H154" s="214">
        <f t="shared" si="216"/>
        <v>616844816</v>
      </c>
      <c r="I154" s="214">
        <f t="shared" si="217"/>
        <v>644287985</v>
      </c>
      <c r="J154" s="213">
        <f t="shared" si="218"/>
        <v>12</v>
      </c>
      <c r="K154" s="213">
        <f t="shared" si="219"/>
        <v>5</v>
      </c>
      <c r="M154" s="210">
        <f t="shared" si="220"/>
        <v>360</v>
      </c>
      <c r="N154" s="210">
        <f t="shared" si="221"/>
        <v>360</v>
      </c>
      <c r="O154" s="210">
        <f t="shared" si="222"/>
        <v>900</v>
      </c>
      <c r="P154" s="210">
        <f t="shared" si="223"/>
        <v>300</v>
      </c>
      <c r="Q154" s="210" t="str">
        <f t="shared" si="224"/>
        <v/>
      </c>
      <c r="R154" s="210" t="str">
        <f t="shared" si="225"/>
        <v/>
      </c>
      <c r="S154" s="210" t="str">
        <f t="shared" si="226"/>
        <v/>
      </c>
      <c r="U154" s="482">
        <f t="shared" si="227"/>
        <v>0</v>
      </c>
      <c r="V154" s="482">
        <f t="shared" si="228"/>
        <v>0</v>
      </c>
      <c r="W154" s="482">
        <f t="shared" si="229"/>
        <v>1.7066666666666668</v>
      </c>
      <c r="X154" s="482">
        <f t="shared" si="230"/>
        <v>5.5222222222222221</v>
      </c>
      <c r="Y154" s="482">
        <f t="shared" si="231"/>
        <v>3.6944444444444446</v>
      </c>
      <c r="Z154" s="482">
        <f t="shared" si="232"/>
        <v>3.6944444444444446</v>
      </c>
      <c r="AA154" s="482">
        <f t="shared" si="233"/>
        <v>22.12</v>
      </c>
      <c r="AB154" s="243"/>
      <c r="AC154" s="482">
        <f t="shared" si="234"/>
        <v>5.5222222222222221</v>
      </c>
      <c r="AD154" s="482">
        <f t="shared" si="235"/>
        <v>22.12</v>
      </c>
      <c r="AE154" s="482">
        <f t="shared" si="236"/>
        <v>27.642222222222223</v>
      </c>
      <c r="AF154" s="482">
        <f t="shared" si="237"/>
        <v>3.6944444444444446</v>
      </c>
      <c r="AG154" s="482">
        <f t="shared" si="238"/>
        <v>9.2166666666666668</v>
      </c>
      <c r="AH154" s="482">
        <f t="shared" si="239"/>
        <v>25.814444444444447</v>
      </c>
      <c r="AI154" s="482">
        <f t="shared" si="240"/>
        <v>31.33666666666667</v>
      </c>
      <c r="AJ154" s="482">
        <f t="shared" si="241"/>
        <v>0</v>
      </c>
      <c r="AK154" s="482">
        <f t="shared" si="242"/>
        <v>5.5222222222222221</v>
      </c>
      <c r="AL154" s="482">
        <f t="shared" si="243"/>
        <v>22.12</v>
      </c>
      <c r="AM154" s="482">
        <f t="shared" si="244"/>
        <v>27.642222222222223</v>
      </c>
      <c r="AN154" s="482">
        <f t="shared" si="245"/>
        <v>3.6944444444444446</v>
      </c>
      <c r="AO154" s="482">
        <f t="shared" si="246"/>
        <v>9.2166666666666668</v>
      </c>
      <c r="AP154" s="482">
        <f t="shared" si="247"/>
        <v>25.814444444444447</v>
      </c>
      <c r="AQ154" s="482">
        <f t="shared" si="248"/>
        <v>31.33666666666667</v>
      </c>
      <c r="AR154" s="482">
        <f t="shared" si="249"/>
        <v>1.7066666666666668</v>
      </c>
      <c r="AS154" s="482">
        <f t="shared" si="250"/>
        <v>7.2288888888888891</v>
      </c>
      <c r="AT154" s="482">
        <f t="shared" si="251"/>
        <v>23.826666666666668</v>
      </c>
      <c r="AU154" s="482">
        <f t="shared" si="252"/>
        <v>29.34888888888889</v>
      </c>
      <c r="AV154" s="482">
        <f t="shared" si="253"/>
        <v>5.4011111111111116</v>
      </c>
      <c r="AW154" s="482">
        <f t="shared" si="254"/>
        <v>10.923333333333334</v>
      </c>
      <c r="AX154" s="482">
        <f t="shared" si="255"/>
        <v>27.521111111111111</v>
      </c>
      <c r="AY154" s="482">
        <f t="shared" si="256"/>
        <v>33.043333333333337</v>
      </c>
      <c r="AZ154" s="482">
        <f t="shared" si="257"/>
        <v>1.7066666666666668</v>
      </c>
      <c r="BA154" s="482">
        <f t="shared" si="258"/>
        <v>7.2288888888888891</v>
      </c>
      <c r="BB154" s="482">
        <f t="shared" si="259"/>
        <v>23.826666666666668</v>
      </c>
      <c r="BC154" s="482">
        <f t="shared" si="260"/>
        <v>29.34888888888889</v>
      </c>
      <c r="BD154" s="482">
        <f t="shared" si="261"/>
        <v>5.4011111111111116</v>
      </c>
      <c r="BE154" s="482">
        <f t="shared" si="262"/>
        <v>10.923333333333334</v>
      </c>
      <c r="BF154" s="482">
        <f t="shared" si="263"/>
        <v>27.521111111111111</v>
      </c>
      <c r="BG154" s="482">
        <f t="shared" si="264"/>
        <v>33.043333333333337</v>
      </c>
    </row>
    <row r="155" spans="1:59">
      <c r="A155" s="213" t="s">
        <v>5317</v>
      </c>
      <c r="B155" s="231">
        <v>616844825</v>
      </c>
      <c r="C155" s="210" t="s">
        <v>5284</v>
      </c>
      <c r="D155" s="210">
        <v>1800</v>
      </c>
      <c r="F155" s="239" t="str" cm="1">
        <f t="array" aca="1" ref="F155" ca="1">MID(met2utc(PEPSSI_Commanding[[#This Row],[MET]]),3,15)</f>
        <v>25-219/03:55:09</v>
      </c>
      <c r="G155" s="213" t="str">
        <f t="shared" si="215"/>
        <v>STAT+1800</v>
      </c>
      <c r="H155" s="214">
        <f t="shared" si="216"/>
        <v>616844816</v>
      </c>
      <c r="I155" s="214">
        <f t="shared" si="217"/>
        <v>644287985</v>
      </c>
      <c r="J155" s="213">
        <f t="shared" si="218"/>
        <v>13</v>
      </c>
      <c r="K155" s="213">
        <f t="shared" si="219"/>
        <v>4</v>
      </c>
      <c r="M155" s="210">
        <f t="shared" si="220"/>
        <v>360</v>
      </c>
      <c r="N155" s="210">
        <f t="shared" si="221"/>
        <v>360</v>
      </c>
      <c r="O155" s="210">
        <f t="shared" si="222"/>
        <v>900</v>
      </c>
      <c r="P155" s="210">
        <f t="shared" si="223"/>
        <v>1800</v>
      </c>
      <c r="Q155" s="210" t="str">
        <f t="shared" si="224"/>
        <v/>
      </c>
      <c r="R155" s="210" t="str">
        <f t="shared" si="225"/>
        <v/>
      </c>
      <c r="S155" s="210" t="str">
        <f t="shared" si="226"/>
        <v/>
      </c>
      <c r="U155" s="482">
        <f t="shared" si="227"/>
        <v>0</v>
      </c>
      <c r="V155" s="482">
        <f t="shared" si="228"/>
        <v>0</v>
      </c>
      <c r="W155" s="482">
        <f t="shared" si="229"/>
        <v>0.28444444444444444</v>
      </c>
      <c r="X155" s="482">
        <f t="shared" si="230"/>
        <v>5.5222222222222221</v>
      </c>
      <c r="Y155" s="482">
        <f t="shared" si="231"/>
        <v>3.6944444444444446</v>
      </c>
      <c r="Z155" s="482">
        <f t="shared" si="232"/>
        <v>3.6944444444444446</v>
      </c>
      <c r="AA155" s="482">
        <f t="shared" si="233"/>
        <v>22.12</v>
      </c>
      <c r="AB155" s="243"/>
      <c r="AC155" s="482">
        <f t="shared" si="234"/>
        <v>5.5222222222222221</v>
      </c>
      <c r="AD155" s="482">
        <f t="shared" si="235"/>
        <v>22.12</v>
      </c>
      <c r="AE155" s="482">
        <f t="shared" si="236"/>
        <v>27.642222222222223</v>
      </c>
      <c r="AF155" s="482">
        <f t="shared" si="237"/>
        <v>3.6944444444444446</v>
      </c>
      <c r="AG155" s="482">
        <f t="shared" si="238"/>
        <v>9.2166666666666668</v>
      </c>
      <c r="AH155" s="482">
        <f t="shared" si="239"/>
        <v>25.814444444444447</v>
      </c>
      <c r="AI155" s="482">
        <f t="shared" si="240"/>
        <v>31.33666666666667</v>
      </c>
      <c r="AJ155" s="482">
        <f t="shared" si="241"/>
        <v>0</v>
      </c>
      <c r="AK155" s="482">
        <f t="shared" si="242"/>
        <v>5.5222222222222221</v>
      </c>
      <c r="AL155" s="482">
        <f t="shared" si="243"/>
        <v>22.12</v>
      </c>
      <c r="AM155" s="482">
        <f t="shared" si="244"/>
        <v>27.642222222222223</v>
      </c>
      <c r="AN155" s="482">
        <f t="shared" si="245"/>
        <v>3.6944444444444446</v>
      </c>
      <c r="AO155" s="482">
        <f t="shared" si="246"/>
        <v>9.2166666666666668</v>
      </c>
      <c r="AP155" s="482">
        <f t="shared" si="247"/>
        <v>25.814444444444447</v>
      </c>
      <c r="AQ155" s="482">
        <f t="shared" si="248"/>
        <v>31.33666666666667</v>
      </c>
      <c r="AR155" s="482">
        <f t="shared" si="249"/>
        <v>0.28444444444444444</v>
      </c>
      <c r="AS155" s="482">
        <f t="shared" si="250"/>
        <v>5.8066666666666666</v>
      </c>
      <c r="AT155" s="482">
        <f t="shared" si="251"/>
        <v>22.404444444444444</v>
      </c>
      <c r="AU155" s="482">
        <f t="shared" si="252"/>
        <v>27.926666666666666</v>
      </c>
      <c r="AV155" s="482">
        <f t="shared" si="253"/>
        <v>3.9788888888888891</v>
      </c>
      <c r="AW155" s="482">
        <f t="shared" si="254"/>
        <v>9.5011111111111113</v>
      </c>
      <c r="AX155" s="482">
        <f t="shared" si="255"/>
        <v>26.09888888888889</v>
      </c>
      <c r="AY155" s="482">
        <f t="shared" si="256"/>
        <v>31.621111111111112</v>
      </c>
      <c r="AZ155" s="482">
        <f t="shared" si="257"/>
        <v>0.28444444444444444</v>
      </c>
      <c r="BA155" s="482">
        <f t="shared" si="258"/>
        <v>5.8066666666666666</v>
      </c>
      <c r="BB155" s="482">
        <f t="shared" si="259"/>
        <v>22.404444444444444</v>
      </c>
      <c r="BC155" s="482">
        <f t="shared" si="260"/>
        <v>27.926666666666666</v>
      </c>
      <c r="BD155" s="482">
        <f t="shared" si="261"/>
        <v>3.9788888888888891</v>
      </c>
      <c r="BE155" s="482">
        <f t="shared" si="262"/>
        <v>9.5011111111111113</v>
      </c>
      <c r="BF155" s="482">
        <f t="shared" si="263"/>
        <v>26.09888888888889</v>
      </c>
      <c r="BG155" s="482">
        <f t="shared" si="264"/>
        <v>31.621111111111112</v>
      </c>
    </row>
    <row r="156" spans="1:59">
      <c r="A156" s="213" t="s">
        <v>5315</v>
      </c>
      <c r="B156" s="231">
        <v>616844876</v>
      </c>
      <c r="C156" s="210" t="s">
        <v>5285</v>
      </c>
      <c r="D156" s="210">
        <v>102</v>
      </c>
      <c r="F156" s="239" t="str" cm="1">
        <f t="array" aca="1" ref="F156" ca="1">MID(met2utc(PEPSSI_Commanding[[#This Row],[MET]]),3,15)</f>
        <v>25-219/03:56:00</v>
      </c>
      <c r="G156" s="213" t="str">
        <f t="shared" si="215"/>
        <v>MAC+102</v>
      </c>
      <c r="H156" s="214">
        <f t="shared" si="216"/>
        <v>616844816</v>
      </c>
      <c r="I156" s="214">
        <f t="shared" si="217"/>
        <v>644287985</v>
      </c>
      <c r="J156" s="213">
        <f t="shared" si="218"/>
        <v>14</v>
      </c>
      <c r="K156" s="213">
        <f t="shared" si="219"/>
        <v>3</v>
      </c>
      <c r="M156" s="210">
        <f t="shared" si="220"/>
        <v>360</v>
      </c>
      <c r="N156" s="210">
        <f t="shared" si="221"/>
        <v>360</v>
      </c>
      <c r="O156" s="210">
        <f t="shared" si="222"/>
        <v>900</v>
      </c>
      <c r="P156" s="210">
        <f t="shared" si="223"/>
        <v>1800</v>
      </c>
      <c r="Q156" s="210" t="str">
        <f t="shared" si="224"/>
        <v/>
      </c>
      <c r="R156" s="210" t="str">
        <f t="shared" si="225"/>
        <v/>
      </c>
      <c r="S156" s="210" t="str">
        <f t="shared" si="226"/>
        <v>102</v>
      </c>
      <c r="U156" s="482">
        <f t="shared" si="227"/>
        <v>0</v>
      </c>
      <c r="V156" s="482">
        <f t="shared" si="228"/>
        <v>0</v>
      </c>
      <c r="W156" s="482">
        <f t="shared" si="229"/>
        <v>0.28444444444444444</v>
      </c>
      <c r="X156" s="482">
        <f t="shared" si="230"/>
        <v>5.5222222222222221</v>
      </c>
      <c r="Y156" s="482">
        <f t="shared" si="231"/>
        <v>3.6944444444444446</v>
      </c>
      <c r="Z156" s="482">
        <f t="shared" si="232"/>
        <v>3.6944444444444446</v>
      </c>
      <c r="AA156" s="482">
        <f t="shared" si="233"/>
        <v>22.12</v>
      </c>
      <c r="AB156" s="243"/>
      <c r="AC156" s="482">
        <f t="shared" si="234"/>
        <v>5.5222222222222221</v>
      </c>
      <c r="AD156" s="482">
        <f t="shared" si="235"/>
        <v>22.12</v>
      </c>
      <c r="AE156" s="482">
        <f t="shared" si="236"/>
        <v>27.642222222222223</v>
      </c>
      <c r="AF156" s="482">
        <f t="shared" si="237"/>
        <v>3.6944444444444446</v>
      </c>
      <c r="AG156" s="482">
        <f t="shared" si="238"/>
        <v>9.2166666666666668</v>
      </c>
      <c r="AH156" s="482">
        <f t="shared" si="239"/>
        <v>25.814444444444447</v>
      </c>
      <c r="AI156" s="482">
        <f t="shared" si="240"/>
        <v>31.33666666666667</v>
      </c>
      <c r="AJ156" s="482">
        <f t="shared" si="241"/>
        <v>0</v>
      </c>
      <c r="AK156" s="482">
        <f t="shared" si="242"/>
        <v>5.5222222222222221</v>
      </c>
      <c r="AL156" s="482">
        <f t="shared" si="243"/>
        <v>22.12</v>
      </c>
      <c r="AM156" s="482">
        <f t="shared" si="244"/>
        <v>27.642222222222223</v>
      </c>
      <c r="AN156" s="482">
        <f t="shared" si="245"/>
        <v>3.6944444444444446</v>
      </c>
      <c r="AO156" s="482">
        <f t="shared" si="246"/>
        <v>9.2166666666666668</v>
      </c>
      <c r="AP156" s="482">
        <f t="shared" si="247"/>
        <v>25.814444444444447</v>
      </c>
      <c r="AQ156" s="482">
        <f t="shared" si="248"/>
        <v>31.33666666666667</v>
      </c>
      <c r="AR156" s="482">
        <f t="shared" si="249"/>
        <v>0.28444444444444444</v>
      </c>
      <c r="AS156" s="482">
        <f t="shared" si="250"/>
        <v>5.8066666666666666</v>
      </c>
      <c r="AT156" s="482">
        <f t="shared" si="251"/>
        <v>22.404444444444444</v>
      </c>
      <c r="AU156" s="482">
        <f t="shared" si="252"/>
        <v>27.926666666666666</v>
      </c>
      <c r="AV156" s="482">
        <f t="shared" si="253"/>
        <v>3.9788888888888891</v>
      </c>
      <c r="AW156" s="482">
        <f t="shared" si="254"/>
        <v>9.5011111111111113</v>
      </c>
      <c r="AX156" s="482">
        <f t="shared" si="255"/>
        <v>26.09888888888889</v>
      </c>
      <c r="AY156" s="482">
        <f t="shared" si="256"/>
        <v>31.621111111111112</v>
      </c>
      <c r="AZ156" s="482">
        <f t="shared" si="257"/>
        <v>0.28444444444444444</v>
      </c>
      <c r="BA156" s="482">
        <f t="shared" si="258"/>
        <v>5.8066666666666666</v>
      </c>
      <c r="BB156" s="482">
        <f t="shared" si="259"/>
        <v>22.404444444444444</v>
      </c>
      <c r="BC156" s="482">
        <f t="shared" si="260"/>
        <v>27.926666666666666</v>
      </c>
      <c r="BD156" s="482">
        <f t="shared" si="261"/>
        <v>3.9788888888888891</v>
      </c>
      <c r="BE156" s="482">
        <f t="shared" si="262"/>
        <v>9.5011111111111113</v>
      </c>
      <c r="BF156" s="482">
        <f t="shared" si="263"/>
        <v>26.09888888888889</v>
      </c>
      <c r="BG156" s="482">
        <f t="shared" si="264"/>
        <v>31.621111111111112</v>
      </c>
    </row>
    <row r="157" spans="1:59">
      <c r="A157" s="213" t="s">
        <v>5315</v>
      </c>
      <c r="B157" s="231">
        <v>616845476</v>
      </c>
      <c r="C157" s="210" t="s">
        <v>5285</v>
      </c>
      <c r="D157" s="210">
        <v>104</v>
      </c>
      <c r="F157" s="239" t="str" cm="1">
        <f t="array" aca="1" ref="F157" ca="1">MID(met2utc(PEPSSI_Commanding[[#This Row],[MET]]),3,15)</f>
        <v>25-219/04:06:00</v>
      </c>
      <c r="G157" s="213" t="str">
        <f t="shared" si="215"/>
        <v>MAC+104</v>
      </c>
      <c r="H157" s="214">
        <f t="shared" si="216"/>
        <v>616844816</v>
      </c>
      <c r="I157" s="214">
        <f t="shared" si="217"/>
        <v>644287985</v>
      </c>
      <c r="J157" s="213">
        <f t="shared" si="218"/>
        <v>15</v>
      </c>
      <c r="K157" s="213">
        <f t="shared" si="219"/>
        <v>2</v>
      </c>
      <c r="M157" s="210">
        <f t="shared" si="220"/>
        <v>360</v>
      </c>
      <c r="N157" s="210">
        <f t="shared" si="221"/>
        <v>2</v>
      </c>
      <c r="O157" s="210">
        <f t="shared" si="222"/>
        <v>900</v>
      </c>
      <c r="P157" s="210">
        <f t="shared" si="223"/>
        <v>1800</v>
      </c>
      <c r="Q157" s="210" t="str">
        <f t="shared" si="224"/>
        <v>disabled</v>
      </c>
      <c r="R157" s="210" t="str">
        <f t="shared" si="225"/>
        <v/>
      </c>
      <c r="S157" s="210" t="str">
        <f t="shared" si="226"/>
        <v>102</v>
      </c>
      <c r="U157" s="482">
        <f t="shared" si="227"/>
        <v>0</v>
      </c>
      <c r="V157" s="482">
        <f t="shared" si="228"/>
        <v>0</v>
      </c>
      <c r="W157" s="482">
        <f t="shared" si="229"/>
        <v>0.28444444444444444</v>
      </c>
      <c r="X157" s="482">
        <f t="shared" si="230"/>
        <v>5.5222222222222221</v>
      </c>
      <c r="Y157" s="482">
        <f t="shared" si="231"/>
        <v>0</v>
      </c>
      <c r="Z157" s="482">
        <f t="shared" si="232"/>
        <v>0</v>
      </c>
      <c r="AA157" s="482">
        <f t="shared" si="233"/>
        <v>22.12</v>
      </c>
      <c r="AB157" s="243"/>
      <c r="AC157" s="482">
        <f t="shared" si="234"/>
        <v>5.5222222222222221</v>
      </c>
      <c r="AD157" s="482">
        <f t="shared" si="235"/>
        <v>22.12</v>
      </c>
      <c r="AE157" s="482">
        <f t="shared" si="236"/>
        <v>27.642222222222223</v>
      </c>
      <c r="AF157" s="482">
        <f t="shared" si="237"/>
        <v>0</v>
      </c>
      <c r="AG157" s="482">
        <f t="shared" si="238"/>
        <v>5.5222222222222221</v>
      </c>
      <c r="AH157" s="482">
        <f t="shared" si="239"/>
        <v>22.12</v>
      </c>
      <c r="AI157" s="482">
        <f t="shared" si="240"/>
        <v>27.642222222222223</v>
      </c>
      <c r="AJ157" s="482">
        <f t="shared" si="241"/>
        <v>0</v>
      </c>
      <c r="AK157" s="482">
        <f t="shared" si="242"/>
        <v>5.5222222222222221</v>
      </c>
      <c r="AL157" s="482">
        <f t="shared" si="243"/>
        <v>22.12</v>
      </c>
      <c r="AM157" s="482">
        <f t="shared" si="244"/>
        <v>27.642222222222223</v>
      </c>
      <c r="AN157" s="482">
        <f t="shared" si="245"/>
        <v>0</v>
      </c>
      <c r="AO157" s="482">
        <f t="shared" si="246"/>
        <v>5.5222222222222221</v>
      </c>
      <c r="AP157" s="482">
        <f t="shared" si="247"/>
        <v>22.12</v>
      </c>
      <c r="AQ157" s="482">
        <f t="shared" si="248"/>
        <v>27.642222222222223</v>
      </c>
      <c r="AR157" s="482">
        <f t="shared" si="249"/>
        <v>0.28444444444444444</v>
      </c>
      <c r="AS157" s="482">
        <f t="shared" si="250"/>
        <v>5.8066666666666666</v>
      </c>
      <c r="AT157" s="482">
        <f t="shared" si="251"/>
        <v>22.404444444444444</v>
      </c>
      <c r="AU157" s="482">
        <f t="shared" si="252"/>
        <v>27.926666666666666</v>
      </c>
      <c r="AV157" s="482">
        <f t="shared" si="253"/>
        <v>0.28444444444444444</v>
      </c>
      <c r="AW157" s="482">
        <f t="shared" si="254"/>
        <v>5.8066666666666666</v>
      </c>
      <c r="AX157" s="482">
        <f t="shared" si="255"/>
        <v>22.404444444444444</v>
      </c>
      <c r="AY157" s="482">
        <f t="shared" si="256"/>
        <v>27.926666666666666</v>
      </c>
      <c r="AZ157" s="482">
        <f t="shared" si="257"/>
        <v>0.28444444444444444</v>
      </c>
      <c r="BA157" s="482">
        <f t="shared" si="258"/>
        <v>5.8066666666666666</v>
      </c>
      <c r="BB157" s="482">
        <f t="shared" si="259"/>
        <v>22.404444444444444</v>
      </c>
      <c r="BC157" s="482">
        <f t="shared" si="260"/>
        <v>27.926666666666666</v>
      </c>
      <c r="BD157" s="482">
        <f t="shared" si="261"/>
        <v>0.28444444444444444</v>
      </c>
      <c r="BE157" s="482">
        <f t="shared" si="262"/>
        <v>5.8066666666666666</v>
      </c>
      <c r="BF157" s="482">
        <f t="shared" si="263"/>
        <v>22.404444444444444</v>
      </c>
      <c r="BG157" s="482">
        <f t="shared" si="264"/>
        <v>27.926666666666666</v>
      </c>
    </row>
    <row r="158" spans="1:59">
      <c r="A158" s="213" t="s">
        <v>5315</v>
      </c>
      <c r="B158" s="231">
        <v>616846076</v>
      </c>
      <c r="C158" s="210" t="s">
        <v>5285</v>
      </c>
      <c r="D158" s="210">
        <v>105</v>
      </c>
      <c r="F158" s="239" t="str" cm="1">
        <f t="array" aca="1" ref="F158" ca="1">MID(met2utc(PEPSSI_Commanding[[#This Row],[MET]]),3,15)</f>
        <v>25-219/04:16:00</v>
      </c>
      <c r="G158" s="213" t="str">
        <f t="shared" si="215"/>
        <v>MAC+105</v>
      </c>
      <c r="H158" s="214">
        <f t="shared" si="216"/>
        <v>616844816</v>
      </c>
      <c r="I158" s="214">
        <f t="shared" si="217"/>
        <v>644287985</v>
      </c>
      <c r="J158" s="213">
        <f t="shared" si="218"/>
        <v>16</v>
      </c>
      <c r="K158" s="213">
        <f t="shared" si="219"/>
        <v>1</v>
      </c>
      <c r="M158" s="210">
        <f t="shared" si="220"/>
        <v>360</v>
      </c>
      <c r="N158" s="210">
        <f t="shared" si="221"/>
        <v>2</v>
      </c>
      <c r="O158" s="210">
        <f t="shared" si="222"/>
        <v>900</v>
      </c>
      <c r="P158" s="210">
        <f t="shared" si="223"/>
        <v>1800</v>
      </c>
      <c r="Q158" s="210" t="str">
        <f t="shared" si="224"/>
        <v/>
      </c>
      <c r="R158" s="210">
        <f t="shared" si="225"/>
        <v>300</v>
      </c>
      <c r="S158" s="210" t="str">
        <f t="shared" si="226"/>
        <v>102</v>
      </c>
      <c r="U158" s="482">
        <f t="shared" si="227"/>
        <v>4.40625</v>
      </c>
      <c r="V158" s="482">
        <f t="shared" si="228"/>
        <v>18.28125</v>
      </c>
      <c r="W158" s="482">
        <f t="shared" si="229"/>
        <v>0.28444444444444444</v>
      </c>
      <c r="X158" s="482">
        <f t="shared" si="230"/>
        <v>5.5222222222222221</v>
      </c>
      <c r="Y158" s="482">
        <f t="shared" si="231"/>
        <v>665</v>
      </c>
      <c r="Z158" s="482">
        <f t="shared" si="232"/>
        <v>4.6180555555555554</v>
      </c>
      <c r="AA158" s="482">
        <f t="shared" si="233"/>
        <v>22.12</v>
      </c>
      <c r="AB158" s="243"/>
      <c r="AC158" s="482">
        <f t="shared" si="234"/>
        <v>5.5222222222222221</v>
      </c>
      <c r="AD158" s="482">
        <f t="shared" si="235"/>
        <v>40.401250000000005</v>
      </c>
      <c r="AE158" s="482">
        <f t="shared" si="236"/>
        <v>45.92347222222223</v>
      </c>
      <c r="AF158" s="482">
        <f t="shared" si="237"/>
        <v>4.6180555555555554</v>
      </c>
      <c r="AG158" s="482">
        <f t="shared" si="238"/>
        <v>10.140277777777778</v>
      </c>
      <c r="AH158" s="482">
        <f t="shared" si="239"/>
        <v>45.019305555555562</v>
      </c>
      <c r="AI158" s="482">
        <f t="shared" si="240"/>
        <v>50.541527777777787</v>
      </c>
      <c r="AJ158" s="482">
        <f t="shared" si="241"/>
        <v>4.40625</v>
      </c>
      <c r="AK158" s="482">
        <f t="shared" si="242"/>
        <v>9.9284722222222221</v>
      </c>
      <c r="AL158" s="482">
        <f t="shared" si="243"/>
        <v>44.807500000000005</v>
      </c>
      <c r="AM158" s="482">
        <f t="shared" si="244"/>
        <v>50.32972222222223</v>
      </c>
      <c r="AN158" s="482">
        <f t="shared" si="245"/>
        <v>9.0243055555555554</v>
      </c>
      <c r="AO158" s="482">
        <f t="shared" si="246"/>
        <v>14.546527777777778</v>
      </c>
      <c r="AP158" s="482">
        <f t="shared" si="247"/>
        <v>49.425555555555562</v>
      </c>
      <c r="AQ158" s="482">
        <f t="shared" si="248"/>
        <v>54.947777777777787</v>
      </c>
      <c r="AR158" s="482">
        <f t="shared" si="249"/>
        <v>0.28444444444444444</v>
      </c>
      <c r="AS158" s="482">
        <f t="shared" si="250"/>
        <v>5.8066666666666666</v>
      </c>
      <c r="AT158" s="482">
        <f t="shared" si="251"/>
        <v>40.685694444444451</v>
      </c>
      <c r="AU158" s="482">
        <f t="shared" si="252"/>
        <v>46.207916666666677</v>
      </c>
      <c r="AV158" s="482">
        <f t="shared" si="253"/>
        <v>4.9024999999999999</v>
      </c>
      <c r="AW158" s="482">
        <f t="shared" si="254"/>
        <v>10.424722222222222</v>
      </c>
      <c r="AX158" s="482">
        <f t="shared" si="255"/>
        <v>45.303750000000008</v>
      </c>
      <c r="AY158" s="482">
        <f t="shared" si="256"/>
        <v>50.825972222222234</v>
      </c>
      <c r="AZ158" s="482">
        <f t="shared" si="257"/>
        <v>4.6906944444444445</v>
      </c>
      <c r="BA158" s="482">
        <f t="shared" si="258"/>
        <v>10.212916666666667</v>
      </c>
      <c r="BB158" s="482">
        <f t="shared" si="259"/>
        <v>45.091944444444451</v>
      </c>
      <c r="BC158" s="482">
        <f t="shared" si="260"/>
        <v>50.614166666666677</v>
      </c>
      <c r="BD158" s="482">
        <f t="shared" si="261"/>
        <v>9.3087499999999999</v>
      </c>
      <c r="BE158" s="482">
        <f t="shared" si="262"/>
        <v>14.830972222222222</v>
      </c>
      <c r="BF158" s="482">
        <f t="shared" si="263"/>
        <v>49.710000000000008</v>
      </c>
      <c r="BG158" s="482">
        <f t="shared" si="264"/>
        <v>55.232222222222234</v>
      </c>
    </row>
    <row r="159" spans="1:59">
      <c r="A159" s="213" t="s">
        <v>5314</v>
      </c>
      <c r="B159" s="231">
        <v>644287985</v>
      </c>
      <c r="C159" s="210" t="s">
        <v>5318</v>
      </c>
      <c r="F159" s="239" t="str" cm="1">
        <f t="array" aca="1" ref="F159" ca="1">MID(met2utc(PEPSSI_Commanding[[#This Row],[MET]]),3,15)</f>
        <v>26-171/19:01:10</v>
      </c>
      <c r="G159" s="213" t="str">
        <f t="shared" si="215"/>
        <v>OFF</v>
      </c>
      <c r="H159" s="214">
        <f t="shared" si="216"/>
        <v>616844816</v>
      </c>
      <c r="I159" s="214">
        <f t="shared" si="217"/>
        <v>644287985</v>
      </c>
      <c r="J159" s="213">
        <f t="shared" si="218"/>
        <v>17</v>
      </c>
      <c r="K159" s="213">
        <f t="shared" si="219"/>
        <v>0</v>
      </c>
      <c r="M159" s="210">
        <f t="shared" si="220"/>
        <v>360</v>
      </c>
      <c r="N159" s="210">
        <f t="shared" si="221"/>
        <v>2</v>
      </c>
      <c r="O159" s="210">
        <f t="shared" si="222"/>
        <v>900</v>
      </c>
      <c r="P159" s="210">
        <f t="shared" si="223"/>
        <v>1800</v>
      </c>
      <c r="Q159" s="210" t="str">
        <f t="shared" si="224"/>
        <v/>
      </c>
      <c r="R159" s="210">
        <f t="shared" si="225"/>
        <v>300</v>
      </c>
      <c r="S159" s="210" t="str">
        <f t="shared" si="226"/>
        <v>102</v>
      </c>
      <c r="U159" s="482">
        <f t="shared" si="227"/>
        <v>4.40625</v>
      </c>
      <c r="V159" s="482">
        <f t="shared" si="228"/>
        <v>18.28125</v>
      </c>
      <c r="W159" s="482">
        <f t="shared" si="229"/>
        <v>0.28444444444444444</v>
      </c>
      <c r="X159" s="482">
        <f t="shared" si="230"/>
        <v>5.5222222222222221</v>
      </c>
      <c r="Y159" s="482">
        <f t="shared" si="231"/>
        <v>665</v>
      </c>
      <c r="Z159" s="482">
        <f t="shared" si="232"/>
        <v>4.6180555555555554</v>
      </c>
      <c r="AA159" s="482">
        <f t="shared" si="233"/>
        <v>22.12</v>
      </c>
      <c r="AB159" s="243"/>
      <c r="AC159" s="482">
        <f t="shared" si="234"/>
        <v>5.5222222222222221</v>
      </c>
      <c r="AD159" s="482">
        <f t="shared" si="235"/>
        <v>40.401250000000005</v>
      </c>
      <c r="AE159" s="482">
        <f t="shared" si="236"/>
        <v>45.92347222222223</v>
      </c>
      <c r="AF159" s="482">
        <f t="shared" si="237"/>
        <v>4.6180555555555554</v>
      </c>
      <c r="AG159" s="482">
        <f t="shared" si="238"/>
        <v>10.140277777777778</v>
      </c>
      <c r="AH159" s="482">
        <f t="shared" si="239"/>
        <v>45.019305555555562</v>
      </c>
      <c r="AI159" s="482">
        <f t="shared" si="240"/>
        <v>50.541527777777787</v>
      </c>
      <c r="AJ159" s="482">
        <f t="shared" si="241"/>
        <v>4.40625</v>
      </c>
      <c r="AK159" s="482">
        <f t="shared" si="242"/>
        <v>9.9284722222222221</v>
      </c>
      <c r="AL159" s="482">
        <f t="shared" si="243"/>
        <v>44.807500000000005</v>
      </c>
      <c r="AM159" s="482">
        <f t="shared" si="244"/>
        <v>50.32972222222223</v>
      </c>
      <c r="AN159" s="482">
        <f t="shared" si="245"/>
        <v>9.0243055555555554</v>
      </c>
      <c r="AO159" s="482">
        <f t="shared" si="246"/>
        <v>14.546527777777778</v>
      </c>
      <c r="AP159" s="482">
        <f t="shared" si="247"/>
        <v>49.425555555555562</v>
      </c>
      <c r="AQ159" s="482">
        <f t="shared" si="248"/>
        <v>54.947777777777787</v>
      </c>
      <c r="AR159" s="482">
        <f t="shared" si="249"/>
        <v>0.28444444444444444</v>
      </c>
      <c r="AS159" s="482">
        <f t="shared" si="250"/>
        <v>5.8066666666666666</v>
      </c>
      <c r="AT159" s="482">
        <f t="shared" si="251"/>
        <v>40.685694444444451</v>
      </c>
      <c r="AU159" s="482">
        <f t="shared" si="252"/>
        <v>46.207916666666677</v>
      </c>
      <c r="AV159" s="482">
        <f t="shared" si="253"/>
        <v>4.9024999999999999</v>
      </c>
      <c r="AW159" s="482">
        <f t="shared" si="254"/>
        <v>10.424722222222222</v>
      </c>
      <c r="AX159" s="482">
        <f t="shared" si="255"/>
        <v>45.303750000000008</v>
      </c>
      <c r="AY159" s="482">
        <f t="shared" si="256"/>
        <v>50.825972222222234</v>
      </c>
      <c r="AZ159" s="482">
        <f t="shared" si="257"/>
        <v>4.6906944444444445</v>
      </c>
      <c r="BA159" s="482">
        <f t="shared" si="258"/>
        <v>10.212916666666667</v>
      </c>
      <c r="BB159" s="482">
        <f t="shared" si="259"/>
        <v>45.091944444444451</v>
      </c>
      <c r="BC159" s="482">
        <f t="shared" si="260"/>
        <v>50.614166666666677</v>
      </c>
      <c r="BD159" s="482">
        <f t="shared" si="261"/>
        <v>9.3087499999999999</v>
      </c>
      <c r="BE159" s="482">
        <f t="shared" si="262"/>
        <v>14.830972222222222</v>
      </c>
      <c r="BF159" s="482">
        <f t="shared" si="263"/>
        <v>49.710000000000008</v>
      </c>
      <c r="BG159" s="482">
        <f t="shared" si="264"/>
        <v>55.232222222222234</v>
      </c>
    </row>
    <row r="160" spans="1:59">
      <c r="A160" s="213" t="s">
        <v>5314</v>
      </c>
      <c r="B160" s="231">
        <v>644923315</v>
      </c>
      <c r="C160" s="210" t="s">
        <v>433</v>
      </c>
      <c r="F160" s="239" t="str" cm="1">
        <f t="array" aca="1" ref="F160" ca="1">MID(met2utc(PEPSSI_Commanding[[#This Row],[MET]]),3,15)</f>
        <v>26-179/03:30:00</v>
      </c>
      <c r="G160" s="213" t="str">
        <f t="shared" si="215"/>
        <v>ON</v>
      </c>
      <c r="H160" s="214">
        <f t="shared" si="216"/>
        <v>644923315</v>
      </c>
      <c r="I160" s="214">
        <f t="shared" si="217"/>
        <v>644924995</v>
      </c>
      <c r="J160" s="213">
        <f t="shared" si="218"/>
        <v>0</v>
      </c>
      <c r="K160" s="213">
        <f t="shared" si="219"/>
        <v>10</v>
      </c>
      <c r="M160" s="210" t="str">
        <f t="shared" si="220"/>
        <v/>
      </c>
      <c r="N160" s="210" t="str">
        <f t="shared" si="221"/>
        <v/>
      </c>
      <c r="O160" s="210" t="str">
        <f t="shared" si="222"/>
        <v/>
      </c>
      <c r="P160" s="210" t="str">
        <f t="shared" si="223"/>
        <v/>
      </c>
      <c r="Q160" s="210" t="str">
        <f t="shared" si="224"/>
        <v/>
      </c>
      <c r="R160" s="210" t="str">
        <f t="shared" si="225"/>
        <v/>
      </c>
      <c r="S160" s="210" t="str">
        <f t="shared" si="226"/>
        <v/>
      </c>
      <c r="U160" s="482">
        <f t="shared" si="227"/>
        <v>0</v>
      </c>
      <c r="V160" s="482">
        <f t="shared" si="228"/>
        <v>0</v>
      </c>
      <c r="W160" s="482">
        <f t="shared" si="229"/>
        <v>0</v>
      </c>
      <c r="X160" s="482">
        <f t="shared" si="230"/>
        <v>0</v>
      </c>
      <c r="Y160" s="482">
        <f t="shared" si="231"/>
        <v>0</v>
      </c>
      <c r="Z160" s="482">
        <f t="shared" si="232"/>
        <v>0</v>
      </c>
      <c r="AA160" s="482">
        <f t="shared" si="233"/>
        <v>0</v>
      </c>
      <c r="AB160" s="243"/>
      <c r="AC160" s="482">
        <f t="shared" si="234"/>
        <v>0</v>
      </c>
      <c r="AD160" s="482">
        <f t="shared" si="235"/>
        <v>0</v>
      </c>
      <c r="AE160" s="482">
        <f t="shared" si="236"/>
        <v>0</v>
      </c>
      <c r="AF160" s="482">
        <f t="shared" si="237"/>
        <v>0</v>
      </c>
      <c r="AG160" s="482">
        <f t="shared" si="238"/>
        <v>0</v>
      </c>
      <c r="AH160" s="482">
        <f t="shared" si="239"/>
        <v>0</v>
      </c>
      <c r="AI160" s="482">
        <f t="shared" si="240"/>
        <v>0</v>
      </c>
      <c r="AJ160" s="482">
        <f t="shared" si="241"/>
        <v>0</v>
      </c>
      <c r="AK160" s="482">
        <f t="shared" si="242"/>
        <v>0</v>
      </c>
      <c r="AL160" s="482">
        <f t="shared" si="243"/>
        <v>0</v>
      </c>
      <c r="AM160" s="482">
        <f t="shared" si="244"/>
        <v>0</v>
      </c>
      <c r="AN160" s="482">
        <f t="shared" si="245"/>
        <v>0</v>
      </c>
      <c r="AO160" s="482">
        <f t="shared" si="246"/>
        <v>0</v>
      </c>
      <c r="AP160" s="482">
        <f t="shared" si="247"/>
        <v>0</v>
      </c>
      <c r="AQ160" s="482">
        <f t="shared" si="248"/>
        <v>0</v>
      </c>
      <c r="AR160" s="482">
        <f t="shared" si="249"/>
        <v>0</v>
      </c>
      <c r="AS160" s="482">
        <f t="shared" si="250"/>
        <v>0</v>
      </c>
      <c r="AT160" s="482">
        <f t="shared" si="251"/>
        <v>0</v>
      </c>
      <c r="AU160" s="482">
        <f t="shared" si="252"/>
        <v>0</v>
      </c>
      <c r="AV160" s="482">
        <f t="shared" si="253"/>
        <v>0</v>
      </c>
      <c r="AW160" s="482">
        <f t="shared" si="254"/>
        <v>0</v>
      </c>
      <c r="AX160" s="482">
        <f t="shared" si="255"/>
        <v>0</v>
      </c>
      <c r="AY160" s="482">
        <f t="shared" si="256"/>
        <v>0</v>
      </c>
      <c r="AZ160" s="482">
        <f t="shared" si="257"/>
        <v>0</v>
      </c>
      <c r="BA160" s="482">
        <f t="shared" si="258"/>
        <v>0</v>
      </c>
      <c r="BB160" s="482">
        <f t="shared" si="259"/>
        <v>0</v>
      </c>
      <c r="BC160" s="482">
        <f t="shared" si="260"/>
        <v>0</v>
      </c>
      <c r="BD160" s="482">
        <f t="shared" si="261"/>
        <v>0</v>
      </c>
      <c r="BE160" s="482">
        <f t="shared" si="262"/>
        <v>0</v>
      </c>
      <c r="BF160" s="482">
        <f t="shared" si="263"/>
        <v>0</v>
      </c>
      <c r="BG160" s="482">
        <f t="shared" si="264"/>
        <v>0</v>
      </c>
    </row>
    <row r="161" spans="1:59">
      <c r="A161" s="213" t="s">
        <v>5315</v>
      </c>
      <c r="B161" s="231">
        <v>644923360</v>
      </c>
      <c r="C161" s="210" t="s">
        <v>5285</v>
      </c>
      <c r="D161" s="210">
        <v>10</v>
      </c>
      <c r="F161" s="239" t="str" cm="1">
        <f t="array" aca="1" ref="F161" ca="1">MID(met2utc(PEPSSI_Commanding[[#This Row],[MET]]),3,15)</f>
        <v>26-179/03:30:45</v>
      </c>
      <c r="G161" s="213" t="str">
        <f t="shared" si="215"/>
        <v>MAC+10</v>
      </c>
      <c r="H161" s="214">
        <f t="shared" si="216"/>
        <v>644923315</v>
      </c>
      <c r="I161" s="214">
        <f t="shared" si="217"/>
        <v>644924995</v>
      </c>
      <c r="J161" s="213">
        <f t="shared" si="218"/>
        <v>1</v>
      </c>
      <c r="K161" s="213">
        <f t="shared" si="219"/>
        <v>9</v>
      </c>
      <c r="M161" s="210" t="str">
        <f t="shared" si="220"/>
        <v/>
      </c>
      <c r="N161" s="210" t="str">
        <f t="shared" si="221"/>
        <v/>
      </c>
      <c r="O161" s="210" t="str">
        <f t="shared" si="222"/>
        <v/>
      </c>
      <c r="P161" s="210" t="str">
        <f t="shared" si="223"/>
        <v/>
      </c>
      <c r="Q161" s="210" t="str">
        <f t="shared" si="224"/>
        <v/>
      </c>
      <c r="R161" s="210" t="str">
        <f t="shared" si="225"/>
        <v/>
      </c>
      <c r="S161" s="210" t="str">
        <f t="shared" si="226"/>
        <v/>
      </c>
      <c r="U161" s="482">
        <f t="shared" si="227"/>
        <v>0</v>
      </c>
      <c r="V161" s="482">
        <f t="shared" si="228"/>
        <v>0</v>
      </c>
      <c r="W161" s="482">
        <f t="shared" si="229"/>
        <v>0</v>
      </c>
      <c r="X161" s="482">
        <f t="shared" si="230"/>
        <v>0</v>
      </c>
      <c r="Y161" s="482">
        <f t="shared" si="231"/>
        <v>0</v>
      </c>
      <c r="Z161" s="482">
        <f t="shared" si="232"/>
        <v>0</v>
      </c>
      <c r="AA161" s="482">
        <f t="shared" si="233"/>
        <v>0</v>
      </c>
      <c r="AB161" s="243"/>
      <c r="AC161" s="482">
        <f t="shared" si="234"/>
        <v>0</v>
      </c>
      <c r="AD161" s="482">
        <f t="shared" si="235"/>
        <v>0</v>
      </c>
      <c r="AE161" s="482">
        <f t="shared" si="236"/>
        <v>0</v>
      </c>
      <c r="AF161" s="482">
        <f t="shared" si="237"/>
        <v>0</v>
      </c>
      <c r="AG161" s="482">
        <f t="shared" si="238"/>
        <v>0</v>
      </c>
      <c r="AH161" s="482">
        <f t="shared" si="239"/>
        <v>0</v>
      </c>
      <c r="AI161" s="482">
        <f t="shared" si="240"/>
        <v>0</v>
      </c>
      <c r="AJ161" s="482">
        <f t="shared" si="241"/>
        <v>0</v>
      </c>
      <c r="AK161" s="482">
        <f t="shared" si="242"/>
        <v>0</v>
      </c>
      <c r="AL161" s="482">
        <f t="shared" si="243"/>
        <v>0</v>
      </c>
      <c r="AM161" s="482">
        <f t="shared" si="244"/>
        <v>0</v>
      </c>
      <c r="AN161" s="482">
        <f t="shared" si="245"/>
        <v>0</v>
      </c>
      <c r="AO161" s="482">
        <f t="shared" si="246"/>
        <v>0</v>
      </c>
      <c r="AP161" s="482">
        <f t="shared" si="247"/>
        <v>0</v>
      </c>
      <c r="AQ161" s="482">
        <f t="shared" si="248"/>
        <v>0</v>
      </c>
      <c r="AR161" s="482">
        <f t="shared" si="249"/>
        <v>0</v>
      </c>
      <c r="AS161" s="482">
        <f t="shared" si="250"/>
        <v>0</v>
      </c>
      <c r="AT161" s="482">
        <f t="shared" si="251"/>
        <v>0</v>
      </c>
      <c r="AU161" s="482">
        <f t="shared" si="252"/>
        <v>0</v>
      </c>
      <c r="AV161" s="482">
        <f t="shared" si="253"/>
        <v>0</v>
      </c>
      <c r="AW161" s="482">
        <f t="shared" si="254"/>
        <v>0</v>
      </c>
      <c r="AX161" s="482">
        <f t="shared" si="255"/>
        <v>0</v>
      </c>
      <c r="AY161" s="482">
        <f t="shared" si="256"/>
        <v>0</v>
      </c>
      <c r="AZ161" s="482">
        <f t="shared" si="257"/>
        <v>0</v>
      </c>
      <c r="BA161" s="482">
        <f t="shared" si="258"/>
        <v>0</v>
      </c>
      <c r="BB161" s="482">
        <f t="shared" si="259"/>
        <v>0</v>
      </c>
      <c r="BC161" s="482">
        <f t="shared" si="260"/>
        <v>0</v>
      </c>
      <c r="BD161" s="482">
        <f t="shared" si="261"/>
        <v>0</v>
      </c>
      <c r="BE161" s="482">
        <f t="shared" si="262"/>
        <v>0</v>
      </c>
      <c r="BF161" s="482">
        <f t="shared" si="263"/>
        <v>0</v>
      </c>
      <c r="BG161" s="482">
        <f t="shared" si="264"/>
        <v>0</v>
      </c>
    </row>
    <row r="162" spans="1:59">
      <c r="A162" s="213" t="s">
        <v>5316</v>
      </c>
      <c r="B162" s="231">
        <v>644923360</v>
      </c>
      <c r="C162" s="210" t="s">
        <v>61</v>
      </c>
      <c r="D162" s="210">
        <v>10</v>
      </c>
      <c r="F162" s="239" t="str" cm="1">
        <f t="array" aca="1" ref="F162" ca="1">MID(met2utc(PEPSSI_Commanding[[#This Row],[MET]]),3,15)</f>
        <v>26-179/03:30:45</v>
      </c>
      <c r="G162" s="213" t="str">
        <f t="shared" si="215"/>
        <v>N2+10</v>
      </c>
      <c r="H162" s="214">
        <f t="shared" si="216"/>
        <v>644923315</v>
      </c>
      <c r="I162" s="214">
        <f t="shared" si="217"/>
        <v>644924995</v>
      </c>
      <c r="J162" s="213">
        <f t="shared" si="218"/>
        <v>2</v>
      </c>
      <c r="K162" s="213">
        <f t="shared" si="219"/>
        <v>8</v>
      </c>
      <c r="M162" s="210" t="str">
        <f t="shared" si="220"/>
        <v/>
      </c>
      <c r="N162" s="210">
        <f t="shared" si="221"/>
        <v>10</v>
      </c>
      <c r="O162" s="210" t="str">
        <f t="shared" si="222"/>
        <v/>
      </c>
      <c r="P162" s="210" t="str">
        <f t="shared" si="223"/>
        <v/>
      </c>
      <c r="Q162" s="210" t="str">
        <f t="shared" si="224"/>
        <v/>
      </c>
      <c r="R162" s="210" t="str">
        <f t="shared" si="225"/>
        <v/>
      </c>
      <c r="S162" s="210" t="str">
        <f t="shared" si="226"/>
        <v/>
      </c>
      <c r="U162" s="482">
        <f t="shared" si="227"/>
        <v>0</v>
      </c>
      <c r="V162" s="482">
        <f t="shared" si="228"/>
        <v>0</v>
      </c>
      <c r="W162" s="482">
        <f t="shared" si="229"/>
        <v>0</v>
      </c>
      <c r="X162" s="482">
        <f t="shared" si="230"/>
        <v>0</v>
      </c>
      <c r="Y162" s="482">
        <f t="shared" si="231"/>
        <v>133</v>
      </c>
      <c r="Z162" s="482">
        <f t="shared" si="232"/>
        <v>133</v>
      </c>
      <c r="AA162" s="482">
        <f t="shared" si="233"/>
        <v>0</v>
      </c>
      <c r="AB162" s="243"/>
      <c r="AC162" s="482">
        <f t="shared" si="234"/>
        <v>0</v>
      </c>
      <c r="AD162" s="482">
        <f t="shared" si="235"/>
        <v>0</v>
      </c>
      <c r="AE162" s="482">
        <f t="shared" si="236"/>
        <v>0</v>
      </c>
      <c r="AF162" s="482">
        <f t="shared" si="237"/>
        <v>133</v>
      </c>
      <c r="AG162" s="482">
        <f t="shared" si="238"/>
        <v>133</v>
      </c>
      <c r="AH162" s="482">
        <f t="shared" si="239"/>
        <v>133</v>
      </c>
      <c r="AI162" s="482">
        <f t="shared" si="240"/>
        <v>133</v>
      </c>
      <c r="AJ162" s="482">
        <f t="shared" si="241"/>
        <v>0</v>
      </c>
      <c r="AK162" s="482">
        <f t="shared" si="242"/>
        <v>0</v>
      </c>
      <c r="AL162" s="482">
        <f t="shared" si="243"/>
        <v>0</v>
      </c>
      <c r="AM162" s="482">
        <f t="shared" si="244"/>
        <v>0</v>
      </c>
      <c r="AN162" s="482">
        <f t="shared" si="245"/>
        <v>133</v>
      </c>
      <c r="AO162" s="482">
        <f t="shared" si="246"/>
        <v>133</v>
      </c>
      <c r="AP162" s="482">
        <f t="shared" si="247"/>
        <v>133</v>
      </c>
      <c r="AQ162" s="482">
        <f t="shared" si="248"/>
        <v>133</v>
      </c>
      <c r="AR162" s="482">
        <f t="shared" si="249"/>
        <v>0</v>
      </c>
      <c r="AS162" s="482">
        <f t="shared" si="250"/>
        <v>0</v>
      </c>
      <c r="AT162" s="482">
        <f t="shared" si="251"/>
        <v>0</v>
      </c>
      <c r="AU162" s="482">
        <f t="shared" si="252"/>
        <v>0</v>
      </c>
      <c r="AV162" s="482">
        <f t="shared" si="253"/>
        <v>133</v>
      </c>
      <c r="AW162" s="482">
        <f t="shared" si="254"/>
        <v>133</v>
      </c>
      <c r="AX162" s="482">
        <f t="shared" si="255"/>
        <v>133</v>
      </c>
      <c r="AY162" s="482">
        <f t="shared" si="256"/>
        <v>133</v>
      </c>
      <c r="AZ162" s="482">
        <f t="shared" si="257"/>
        <v>0</v>
      </c>
      <c r="BA162" s="482">
        <f t="shared" si="258"/>
        <v>0</v>
      </c>
      <c r="BB162" s="482">
        <f t="shared" si="259"/>
        <v>0</v>
      </c>
      <c r="BC162" s="482">
        <f t="shared" si="260"/>
        <v>0</v>
      </c>
      <c r="BD162" s="482">
        <f t="shared" si="261"/>
        <v>133</v>
      </c>
      <c r="BE162" s="482">
        <f t="shared" si="262"/>
        <v>133</v>
      </c>
      <c r="BF162" s="482">
        <f t="shared" si="263"/>
        <v>133</v>
      </c>
      <c r="BG162" s="482">
        <f t="shared" si="264"/>
        <v>133</v>
      </c>
    </row>
    <row r="163" spans="1:59">
      <c r="A163" s="213" t="s">
        <v>5316</v>
      </c>
      <c r="B163" s="231">
        <v>644923361</v>
      </c>
      <c r="C163" s="210" t="s">
        <v>58</v>
      </c>
      <c r="D163" s="210">
        <v>300</v>
      </c>
      <c r="F163" s="239" t="str" cm="1">
        <f t="array" aca="1" ref="F163" ca="1">MID(met2utc(PEPSSI_Commanding[[#This Row],[MET]]),3,15)</f>
        <v>26-179/03:30:46</v>
      </c>
      <c r="G163" s="213" t="str">
        <f t="shared" si="215"/>
        <v>N3+300</v>
      </c>
      <c r="H163" s="214">
        <f t="shared" si="216"/>
        <v>644923315</v>
      </c>
      <c r="I163" s="214">
        <f t="shared" si="217"/>
        <v>644924995</v>
      </c>
      <c r="J163" s="213">
        <f t="shared" si="218"/>
        <v>3</v>
      </c>
      <c r="K163" s="213">
        <f t="shared" si="219"/>
        <v>7</v>
      </c>
      <c r="M163" s="210" t="str">
        <f t="shared" si="220"/>
        <v/>
      </c>
      <c r="N163" s="210">
        <f t="shared" si="221"/>
        <v>10</v>
      </c>
      <c r="O163" s="210">
        <f t="shared" si="222"/>
        <v>300</v>
      </c>
      <c r="P163" s="210" t="str">
        <f t="shared" si="223"/>
        <v/>
      </c>
      <c r="Q163" s="210" t="str">
        <f t="shared" si="224"/>
        <v/>
      </c>
      <c r="R163" s="210" t="str">
        <f t="shared" si="225"/>
        <v/>
      </c>
      <c r="S163" s="210" t="str">
        <f t="shared" si="226"/>
        <v/>
      </c>
      <c r="U163" s="482">
        <f t="shared" si="227"/>
        <v>0</v>
      </c>
      <c r="V163" s="482">
        <f t="shared" si="228"/>
        <v>0</v>
      </c>
      <c r="W163" s="482">
        <f t="shared" si="229"/>
        <v>0</v>
      </c>
      <c r="X163" s="482">
        <f t="shared" si="230"/>
        <v>0</v>
      </c>
      <c r="Y163" s="482">
        <f t="shared" si="231"/>
        <v>133</v>
      </c>
      <c r="Z163" s="482">
        <f t="shared" si="232"/>
        <v>133</v>
      </c>
      <c r="AA163" s="482">
        <f t="shared" si="233"/>
        <v>66.36</v>
      </c>
      <c r="AB163" s="243"/>
      <c r="AC163" s="482">
        <f t="shared" si="234"/>
        <v>0</v>
      </c>
      <c r="AD163" s="482">
        <f t="shared" si="235"/>
        <v>66.36</v>
      </c>
      <c r="AE163" s="482">
        <f t="shared" si="236"/>
        <v>66.36</v>
      </c>
      <c r="AF163" s="482">
        <f t="shared" si="237"/>
        <v>133</v>
      </c>
      <c r="AG163" s="482">
        <f t="shared" si="238"/>
        <v>133</v>
      </c>
      <c r="AH163" s="482">
        <f t="shared" si="239"/>
        <v>199.36</v>
      </c>
      <c r="AI163" s="482">
        <f t="shared" si="240"/>
        <v>199.36</v>
      </c>
      <c r="AJ163" s="482">
        <f t="shared" si="241"/>
        <v>0</v>
      </c>
      <c r="AK163" s="482">
        <f t="shared" si="242"/>
        <v>0</v>
      </c>
      <c r="AL163" s="482">
        <f t="shared" si="243"/>
        <v>66.36</v>
      </c>
      <c r="AM163" s="482">
        <f t="shared" si="244"/>
        <v>66.36</v>
      </c>
      <c r="AN163" s="482">
        <f t="shared" si="245"/>
        <v>133</v>
      </c>
      <c r="AO163" s="482">
        <f t="shared" si="246"/>
        <v>133</v>
      </c>
      <c r="AP163" s="482">
        <f t="shared" si="247"/>
        <v>199.36</v>
      </c>
      <c r="AQ163" s="482">
        <f t="shared" si="248"/>
        <v>199.36</v>
      </c>
      <c r="AR163" s="482">
        <f t="shared" si="249"/>
        <v>0</v>
      </c>
      <c r="AS163" s="482">
        <f t="shared" si="250"/>
        <v>0</v>
      </c>
      <c r="AT163" s="482">
        <f t="shared" si="251"/>
        <v>66.36</v>
      </c>
      <c r="AU163" s="482">
        <f t="shared" si="252"/>
        <v>66.36</v>
      </c>
      <c r="AV163" s="482">
        <f t="shared" si="253"/>
        <v>133</v>
      </c>
      <c r="AW163" s="482">
        <f t="shared" si="254"/>
        <v>133</v>
      </c>
      <c r="AX163" s="482">
        <f t="shared" si="255"/>
        <v>199.36</v>
      </c>
      <c r="AY163" s="482">
        <f t="shared" si="256"/>
        <v>199.36</v>
      </c>
      <c r="AZ163" s="482">
        <f t="shared" si="257"/>
        <v>0</v>
      </c>
      <c r="BA163" s="482">
        <f t="shared" si="258"/>
        <v>0</v>
      </c>
      <c r="BB163" s="482">
        <f t="shared" si="259"/>
        <v>66.36</v>
      </c>
      <c r="BC163" s="482">
        <f t="shared" si="260"/>
        <v>66.36</v>
      </c>
      <c r="BD163" s="482">
        <f t="shared" si="261"/>
        <v>133</v>
      </c>
      <c r="BE163" s="482">
        <f t="shared" si="262"/>
        <v>133</v>
      </c>
      <c r="BF163" s="482">
        <f t="shared" si="263"/>
        <v>199.36</v>
      </c>
      <c r="BG163" s="482">
        <f t="shared" si="264"/>
        <v>199.36</v>
      </c>
    </row>
    <row r="164" spans="1:59">
      <c r="A164" s="213" t="s">
        <v>5316</v>
      </c>
      <c r="B164" s="231">
        <v>644923362</v>
      </c>
      <c r="C164" s="210" t="s">
        <v>1</v>
      </c>
      <c r="D164" s="210">
        <v>10</v>
      </c>
      <c r="F164" s="239" t="str" cm="1">
        <f t="array" aca="1" ref="F164" ca="1">MID(met2utc(PEPSSI_Commanding[[#This Row],[MET]]),3,15)</f>
        <v>26-179/03:30:47</v>
      </c>
      <c r="G164" s="213" t="str">
        <f t="shared" si="215"/>
        <v>N1+10</v>
      </c>
      <c r="H164" s="214">
        <f t="shared" si="216"/>
        <v>644923315</v>
      </c>
      <c r="I164" s="214">
        <f t="shared" si="217"/>
        <v>644924995</v>
      </c>
      <c r="J164" s="213">
        <f t="shared" si="218"/>
        <v>4</v>
      </c>
      <c r="K164" s="213">
        <f t="shared" si="219"/>
        <v>6</v>
      </c>
      <c r="M164" s="210">
        <f t="shared" si="220"/>
        <v>10</v>
      </c>
      <c r="N164" s="210">
        <f t="shared" si="221"/>
        <v>10</v>
      </c>
      <c r="O164" s="210">
        <f t="shared" si="222"/>
        <v>300</v>
      </c>
      <c r="P164" s="210" t="str">
        <f t="shared" si="223"/>
        <v/>
      </c>
      <c r="Q164" s="210" t="str">
        <f t="shared" si="224"/>
        <v/>
      </c>
      <c r="R164" s="210" t="str">
        <f t="shared" si="225"/>
        <v/>
      </c>
      <c r="S164" s="210" t="str">
        <f t="shared" si="226"/>
        <v/>
      </c>
      <c r="U164" s="482">
        <f t="shared" si="227"/>
        <v>0</v>
      </c>
      <c r="V164" s="482">
        <f t="shared" si="228"/>
        <v>0</v>
      </c>
      <c r="W164" s="482">
        <f t="shared" si="229"/>
        <v>0</v>
      </c>
      <c r="X164" s="482">
        <f t="shared" si="230"/>
        <v>198.8</v>
      </c>
      <c r="Y164" s="482">
        <f t="shared" si="231"/>
        <v>133</v>
      </c>
      <c r="Z164" s="482">
        <f t="shared" si="232"/>
        <v>133</v>
      </c>
      <c r="AA164" s="482">
        <f t="shared" si="233"/>
        <v>66.36</v>
      </c>
      <c r="AB164" s="243"/>
      <c r="AC164" s="482">
        <f t="shared" si="234"/>
        <v>198.8</v>
      </c>
      <c r="AD164" s="482">
        <f t="shared" si="235"/>
        <v>66.36</v>
      </c>
      <c r="AE164" s="482">
        <f t="shared" si="236"/>
        <v>265.16000000000003</v>
      </c>
      <c r="AF164" s="482">
        <f t="shared" si="237"/>
        <v>133</v>
      </c>
      <c r="AG164" s="482">
        <f t="shared" si="238"/>
        <v>331.8</v>
      </c>
      <c r="AH164" s="482">
        <f t="shared" si="239"/>
        <v>199.36</v>
      </c>
      <c r="AI164" s="482">
        <f t="shared" si="240"/>
        <v>398.16</v>
      </c>
      <c r="AJ164" s="482">
        <f t="shared" si="241"/>
        <v>0</v>
      </c>
      <c r="AK164" s="482">
        <f t="shared" si="242"/>
        <v>198.8</v>
      </c>
      <c r="AL164" s="482">
        <f t="shared" si="243"/>
        <v>66.36</v>
      </c>
      <c r="AM164" s="482">
        <f t="shared" si="244"/>
        <v>265.16000000000003</v>
      </c>
      <c r="AN164" s="482">
        <f t="shared" si="245"/>
        <v>133</v>
      </c>
      <c r="AO164" s="482">
        <f t="shared" si="246"/>
        <v>331.8</v>
      </c>
      <c r="AP164" s="482">
        <f t="shared" si="247"/>
        <v>199.36</v>
      </c>
      <c r="AQ164" s="482">
        <f t="shared" si="248"/>
        <v>398.16</v>
      </c>
      <c r="AR164" s="482">
        <f t="shared" si="249"/>
        <v>0</v>
      </c>
      <c r="AS164" s="482">
        <f t="shared" si="250"/>
        <v>198.8</v>
      </c>
      <c r="AT164" s="482">
        <f t="shared" si="251"/>
        <v>66.36</v>
      </c>
      <c r="AU164" s="482">
        <f t="shared" si="252"/>
        <v>265.16000000000003</v>
      </c>
      <c r="AV164" s="482">
        <f t="shared" si="253"/>
        <v>133</v>
      </c>
      <c r="AW164" s="482">
        <f t="shared" si="254"/>
        <v>331.8</v>
      </c>
      <c r="AX164" s="482">
        <f t="shared" si="255"/>
        <v>199.36</v>
      </c>
      <c r="AY164" s="482">
        <f t="shared" si="256"/>
        <v>398.16</v>
      </c>
      <c r="AZ164" s="482">
        <f t="shared" si="257"/>
        <v>0</v>
      </c>
      <c r="BA164" s="482">
        <f t="shared" si="258"/>
        <v>198.8</v>
      </c>
      <c r="BB164" s="482">
        <f t="shared" si="259"/>
        <v>66.36</v>
      </c>
      <c r="BC164" s="482">
        <f t="shared" si="260"/>
        <v>265.16000000000003</v>
      </c>
      <c r="BD164" s="482">
        <f t="shared" si="261"/>
        <v>133</v>
      </c>
      <c r="BE164" s="482">
        <f t="shared" si="262"/>
        <v>331.8</v>
      </c>
      <c r="BF164" s="482">
        <f t="shared" si="263"/>
        <v>199.36</v>
      </c>
      <c r="BG164" s="482">
        <f t="shared" si="264"/>
        <v>398.16</v>
      </c>
    </row>
    <row r="165" spans="1:59">
      <c r="A165" s="213" t="s">
        <v>5317</v>
      </c>
      <c r="B165" s="231">
        <v>644923363</v>
      </c>
      <c r="C165" s="210" t="s">
        <v>5284</v>
      </c>
      <c r="D165" s="210">
        <v>1</v>
      </c>
      <c r="F165" s="239" t="str" cm="1">
        <f t="array" aca="1" ref="F165" ca="1">MID(met2utc(PEPSSI_Commanding[[#This Row],[MET]]),3,15)</f>
        <v>26-179/03:30:48</v>
      </c>
      <c r="G165" s="213" t="str">
        <f t="shared" si="215"/>
        <v>STAT+1</v>
      </c>
      <c r="H165" s="214">
        <f t="shared" si="216"/>
        <v>644923315</v>
      </c>
      <c r="I165" s="214">
        <f t="shared" si="217"/>
        <v>644924995</v>
      </c>
      <c r="J165" s="213">
        <f t="shared" si="218"/>
        <v>5</v>
      </c>
      <c r="K165" s="213">
        <f t="shared" si="219"/>
        <v>5</v>
      </c>
      <c r="M165" s="210">
        <f t="shared" si="220"/>
        <v>10</v>
      </c>
      <c r="N165" s="210">
        <f t="shared" si="221"/>
        <v>10</v>
      </c>
      <c r="O165" s="210">
        <f t="shared" si="222"/>
        <v>300</v>
      </c>
      <c r="P165" s="210">
        <f t="shared" si="223"/>
        <v>1</v>
      </c>
      <c r="Q165" s="210" t="str">
        <f t="shared" si="224"/>
        <v/>
      </c>
      <c r="R165" s="210" t="str">
        <f t="shared" si="225"/>
        <v/>
      </c>
      <c r="S165" s="210" t="str">
        <f t="shared" si="226"/>
        <v/>
      </c>
      <c r="U165" s="482">
        <f t="shared" si="227"/>
        <v>0</v>
      </c>
      <c r="V165" s="482">
        <f t="shared" si="228"/>
        <v>0</v>
      </c>
      <c r="W165" s="482">
        <f t="shared" si="229"/>
        <v>512</v>
      </c>
      <c r="X165" s="482">
        <f t="shared" si="230"/>
        <v>198.8</v>
      </c>
      <c r="Y165" s="482">
        <f t="shared" si="231"/>
        <v>133</v>
      </c>
      <c r="Z165" s="482">
        <f t="shared" si="232"/>
        <v>133</v>
      </c>
      <c r="AA165" s="482">
        <f t="shared" si="233"/>
        <v>66.36</v>
      </c>
      <c r="AB165" s="243"/>
      <c r="AC165" s="482">
        <f t="shared" si="234"/>
        <v>198.8</v>
      </c>
      <c r="AD165" s="482">
        <f t="shared" si="235"/>
        <v>66.36</v>
      </c>
      <c r="AE165" s="482">
        <f t="shared" si="236"/>
        <v>265.16000000000003</v>
      </c>
      <c r="AF165" s="482">
        <f t="shared" si="237"/>
        <v>133</v>
      </c>
      <c r="AG165" s="482">
        <f t="shared" si="238"/>
        <v>331.8</v>
      </c>
      <c r="AH165" s="482">
        <f t="shared" si="239"/>
        <v>199.36</v>
      </c>
      <c r="AI165" s="482">
        <f t="shared" si="240"/>
        <v>398.16</v>
      </c>
      <c r="AJ165" s="482">
        <f t="shared" si="241"/>
        <v>0</v>
      </c>
      <c r="AK165" s="482">
        <f t="shared" si="242"/>
        <v>198.8</v>
      </c>
      <c r="AL165" s="482">
        <f t="shared" si="243"/>
        <v>66.36</v>
      </c>
      <c r="AM165" s="482">
        <f t="shared" si="244"/>
        <v>265.16000000000003</v>
      </c>
      <c r="AN165" s="482">
        <f t="shared" si="245"/>
        <v>133</v>
      </c>
      <c r="AO165" s="482">
        <f t="shared" si="246"/>
        <v>331.8</v>
      </c>
      <c r="AP165" s="482">
        <f t="shared" si="247"/>
        <v>199.36</v>
      </c>
      <c r="AQ165" s="482">
        <f t="shared" si="248"/>
        <v>398.16</v>
      </c>
      <c r="AR165" s="482">
        <f t="shared" si="249"/>
        <v>512</v>
      </c>
      <c r="AS165" s="482">
        <f t="shared" si="250"/>
        <v>710.8</v>
      </c>
      <c r="AT165" s="482">
        <f t="shared" si="251"/>
        <v>578.36</v>
      </c>
      <c r="AU165" s="482">
        <f t="shared" si="252"/>
        <v>777.16000000000008</v>
      </c>
      <c r="AV165" s="482">
        <f t="shared" si="253"/>
        <v>645</v>
      </c>
      <c r="AW165" s="482">
        <f t="shared" si="254"/>
        <v>843.8</v>
      </c>
      <c r="AX165" s="482">
        <f t="shared" si="255"/>
        <v>711.36</v>
      </c>
      <c r="AY165" s="482">
        <f t="shared" si="256"/>
        <v>910.16000000000008</v>
      </c>
      <c r="AZ165" s="482">
        <f t="shared" si="257"/>
        <v>512</v>
      </c>
      <c r="BA165" s="482">
        <f t="shared" si="258"/>
        <v>710.8</v>
      </c>
      <c r="BB165" s="482">
        <f t="shared" si="259"/>
        <v>578.36</v>
      </c>
      <c r="BC165" s="482">
        <f t="shared" si="260"/>
        <v>777.16000000000008</v>
      </c>
      <c r="BD165" s="482">
        <f t="shared" si="261"/>
        <v>645</v>
      </c>
      <c r="BE165" s="482">
        <f t="shared" si="262"/>
        <v>843.8</v>
      </c>
      <c r="BF165" s="482">
        <f t="shared" si="263"/>
        <v>711.36</v>
      </c>
      <c r="BG165" s="482">
        <f t="shared" si="264"/>
        <v>910.16000000000008</v>
      </c>
    </row>
    <row r="166" spans="1:59">
      <c r="A166" s="213" t="s">
        <v>5316</v>
      </c>
      <c r="B166" s="231">
        <v>644924846</v>
      </c>
      <c r="C166" s="210" t="s">
        <v>61</v>
      </c>
      <c r="D166" s="210">
        <v>40</v>
      </c>
      <c r="F166" s="239" t="str" cm="1">
        <f t="array" aca="1" ref="F166" ca="1">MID(met2utc(PEPSSI_Commanding[[#This Row],[MET]]),3,15)</f>
        <v>26-179/03:55:31</v>
      </c>
      <c r="G166" s="213" t="str">
        <f t="shared" si="215"/>
        <v>N2+40</v>
      </c>
      <c r="H166" s="214">
        <f t="shared" si="216"/>
        <v>644923315</v>
      </c>
      <c r="I166" s="214">
        <f t="shared" si="217"/>
        <v>644924995</v>
      </c>
      <c r="J166" s="213">
        <f t="shared" si="218"/>
        <v>6</v>
      </c>
      <c r="K166" s="213">
        <f t="shared" si="219"/>
        <v>4</v>
      </c>
      <c r="M166" s="210">
        <f t="shared" si="220"/>
        <v>10</v>
      </c>
      <c r="N166" s="210">
        <f t="shared" si="221"/>
        <v>40</v>
      </c>
      <c r="O166" s="210">
        <f t="shared" si="222"/>
        <v>300</v>
      </c>
      <c r="P166" s="210">
        <f t="shared" si="223"/>
        <v>1</v>
      </c>
      <c r="Q166" s="210" t="str">
        <f t="shared" si="224"/>
        <v/>
      </c>
      <c r="R166" s="210" t="str">
        <f t="shared" si="225"/>
        <v/>
      </c>
      <c r="S166" s="210" t="str">
        <f t="shared" si="226"/>
        <v/>
      </c>
      <c r="U166" s="482">
        <f t="shared" si="227"/>
        <v>0</v>
      </c>
      <c r="V166" s="482">
        <f t="shared" si="228"/>
        <v>0</v>
      </c>
      <c r="W166" s="482">
        <f t="shared" si="229"/>
        <v>512</v>
      </c>
      <c r="X166" s="482">
        <f t="shared" si="230"/>
        <v>198.8</v>
      </c>
      <c r="Y166" s="482">
        <f t="shared" si="231"/>
        <v>33.25</v>
      </c>
      <c r="Z166" s="482">
        <f t="shared" si="232"/>
        <v>33.25</v>
      </c>
      <c r="AA166" s="482">
        <f t="shared" si="233"/>
        <v>66.36</v>
      </c>
      <c r="AB166" s="243"/>
      <c r="AC166" s="482">
        <f t="shared" si="234"/>
        <v>198.8</v>
      </c>
      <c r="AD166" s="482">
        <f t="shared" si="235"/>
        <v>66.36</v>
      </c>
      <c r="AE166" s="482">
        <f t="shared" si="236"/>
        <v>265.16000000000003</v>
      </c>
      <c r="AF166" s="482">
        <f t="shared" si="237"/>
        <v>33.25</v>
      </c>
      <c r="AG166" s="482">
        <f t="shared" si="238"/>
        <v>232.05</v>
      </c>
      <c r="AH166" s="482">
        <f t="shared" si="239"/>
        <v>99.61</v>
      </c>
      <c r="AI166" s="482">
        <f t="shared" si="240"/>
        <v>298.41000000000003</v>
      </c>
      <c r="AJ166" s="482">
        <f t="shared" si="241"/>
        <v>0</v>
      </c>
      <c r="AK166" s="482">
        <f t="shared" si="242"/>
        <v>198.8</v>
      </c>
      <c r="AL166" s="482">
        <f t="shared" si="243"/>
        <v>66.36</v>
      </c>
      <c r="AM166" s="482">
        <f t="shared" si="244"/>
        <v>265.16000000000003</v>
      </c>
      <c r="AN166" s="482">
        <f t="shared" si="245"/>
        <v>33.25</v>
      </c>
      <c r="AO166" s="482">
        <f t="shared" si="246"/>
        <v>232.05</v>
      </c>
      <c r="AP166" s="482">
        <f t="shared" si="247"/>
        <v>99.61</v>
      </c>
      <c r="AQ166" s="482">
        <f t="shared" si="248"/>
        <v>298.41000000000003</v>
      </c>
      <c r="AR166" s="482">
        <f t="shared" si="249"/>
        <v>512</v>
      </c>
      <c r="AS166" s="482">
        <f t="shared" si="250"/>
        <v>710.8</v>
      </c>
      <c r="AT166" s="482">
        <f t="shared" si="251"/>
        <v>578.36</v>
      </c>
      <c r="AU166" s="482">
        <f t="shared" si="252"/>
        <v>777.16000000000008</v>
      </c>
      <c r="AV166" s="482">
        <f t="shared" si="253"/>
        <v>545.25</v>
      </c>
      <c r="AW166" s="482">
        <f t="shared" si="254"/>
        <v>744.05</v>
      </c>
      <c r="AX166" s="482">
        <f t="shared" si="255"/>
        <v>611.61</v>
      </c>
      <c r="AY166" s="482">
        <f t="shared" si="256"/>
        <v>810.41000000000008</v>
      </c>
      <c r="AZ166" s="482">
        <f t="shared" si="257"/>
        <v>512</v>
      </c>
      <c r="BA166" s="482">
        <f t="shared" si="258"/>
        <v>710.8</v>
      </c>
      <c r="BB166" s="482">
        <f t="shared" si="259"/>
        <v>578.36</v>
      </c>
      <c r="BC166" s="482">
        <f t="shared" si="260"/>
        <v>777.16000000000008</v>
      </c>
      <c r="BD166" s="482">
        <f t="shared" si="261"/>
        <v>545.25</v>
      </c>
      <c r="BE166" s="482">
        <f t="shared" si="262"/>
        <v>744.05</v>
      </c>
      <c r="BF166" s="482">
        <f t="shared" si="263"/>
        <v>611.61</v>
      </c>
      <c r="BG166" s="482">
        <f t="shared" si="264"/>
        <v>810.41000000000008</v>
      </c>
    </row>
    <row r="167" spans="1:59">
      <c r="A167" s="213" t="s">
        <v>5316</v>
      </c>
      <c r="B167" s="231">
        <v>644924847</v>
      </c>
      <c r="C167" s="210" t="s">
        <v>58</v>
      </c>
      <c r="D167" s="210">
        <v>7200</v>
      </c>
      <c r="F167" s="239" t="str" cm="1">
        <f t="array" aca="1" ref="F167" ca="1">MID(met2utc(PEPSSI_Commanding[[#This Row],[MET]]),3,15)</f>
        <v>26-179/03:55:32</v>
      </c>
      <c r="G167" s="213" t="str">
        <f t="shared" si="215"/>
        <v>N3+7200</v>
      </c>
      <c r="H167" s="214">
        <f t="shared" si="216"/>
        <v>644923315</v>
      </c>
      <c r="I167" s="214">
        <f t="shared" si="217"/>
        <v>644924995</v>
      </c>
      <c r="J167" s="213">
        <f t="shared" si="218"/>
        <v>7</v>
      </c>
      <c r="K167" s="213">
        <f t="shared" si="219"/>
        <v>3</v>
      </c>
      <c r="M167" s="210">
        <f t="shared" si="220"/>
        <v>10</v>
      </c>
      <c r="N167" s="210">
        <f t="shared" si="221"/>
        <v>40</v>
      </c>
      <c r="O167" s="210">
        <f t="shared" si="222"/>
        <v>7200</v>
      </c>
      <c r="P167" s="210">
        <f t="shared" si="223"/>
        <v>1</v>
      </c>
      <c r="Q167" s="210" t="str">
        <f t="shared" si="224"/>
        <v/>
      </c>
      <c r="R167" s="210" t="str">
        <f t="shared" si="225"/>
        <v/>
      </c>
      <c r="S167" s="210" t="str">
        <f t="shared" si="226"/>
        <v/>
      </c>
      <c r="U167" s="482">
        <f t="shared" si="227"/>
        <v>0</v>
      </c>
      <c r="V167" s="482">
        <f t="shared" si="228"/>
        <v>0</v>
      </c>
      <c r="W167" s="482">
        <f t="shared" si="229"/>
        <v>512</v>
      </c>
      <c r="X167" s="482">
        <f t="shared" si="230"/>
        <v>198.8</v>
      </c>
      <c r="Y167" s="482">
        <f t="shared" si="231"/>
        <v>33.25</v>
      </c>
      <c r="Z167" s="482">
        <f t="shared" si="232"/>
        <v>33.25</v>
      </c>
      <c r="AA167" s="482">
        <f t="shared" si="233"/>
        <v>2.7650000000000001</v>
      </c>
      <c r="AB167" s="243"/>
      <c r="AC167" s="482">
        <f t="shared" si="234"/>
        <v>198.8</v>
      </c>
      <c r="AD167" s="482">
        <f t="shared" si="235"/>
        <v>2.7650000000000001</v>
      </c>
      <c r="AE167" s="482">
        <f t="shared" si="236"/>
        <v>201.565</v>
      </c>
      <c r="AF167" s="482">
        <f t="shared" si="237"/>
        <v>33.25</v>
      </c>
      <c r="AG167" s="482">
        <f t="shared" si="238"/>
        <v>232.05</v>
      </c>
      <c r="AH167" s="482">
        <f t="shared" si="239"/>
        <v>36.015000000000001</v>
      </c>
      <c r="AI167" s="482">
        <f t="shared" si="240"/>
        <v>234.815</v>
      </c>
      <c r="AJ167" s="482">
        <f t="shared" si="241"/>
        <v>0</v>
      </c>
      <c r="AK167" s="482">
        <f t="shared" si="242"/>
        <v>198.8</v>
      </c>
      <c r="AL167" s="482">
        <f t="shared" si="243"/>
        <v>2.7650000000000001</v>
      </c>
      <c r="AM167" s="482">
        <f t="shared" si="244"/>
        <v>201.565</v>
      </c>
      <c r="AN167" s="482">
        <f t="shared" si="245"/>
        <v>33.25</v>
      </c>
      <c r="AO167" s="482">
        <f t="shared" si="246"/>
        <v>232.05</v>
      </c>
      <c r="AP167" s="482">
        <f t="shared" si="247"/>
        <v>36.015000000000001</v>
      </c>
      <c r="AQ167" s="482">
        <f t="shared" si="248"/>
        <v>234.815</v>
      </c>
      <c r="AR167" s="482">
        <f t="shared" si="249"/>
        <v>512</v>
      </c>
      <c r="AS167" s="482">
        <f t="shared" si="250"/>
        <v>710.8</v>
      </c>
      <c r="AT167" s="482">
        <f t="shared" si="251"/>
        <v>514.76499999999999</v>
      </c>
      <c r="AU167" s="482">
        <f t="shared" si="252"/>
        <v>713.56500000000005</v>
      </c>
      <c r="AV167" s="482">
        <f t="shared" si="253"/>
        <v>545.25</v>
      </c>
      <c r="AW167" s="482">
        <f t="shared" si="254"/>
        <v>744.05</v>
      </c>
      <c r="AX167" s="482">
        <f t="shared" si="255"/>
        <v>548.01499999999999</v>
      </c>
      <c r="AY167" s="482">
        <f t="shared" si="256"/>
        <v>746.81500000000005</v>
      </c>
      <c r="AZ167" s="482">
        <f t="shared" si="257"/>
        <v>512</v>
      </c>
      <c r="BA167" s="482">
        <f t="shared" si="258"/>
        <v>710.8</v>
      </c>
      <c r="BB167" s="482">
        <f t="shared" si="259"/>
        <v>514.76499999999999</v>
      </c>
      <c r="BC167" s="482">
        <f t="shared" si="260"/>
        <v>713.56500000000005</v>
      </c>
      <c r="BD167" s="482">
        <f t="shared" si="261"/>
        <v>545.25</v>
      </c>
      <c r="BE167" s="482">
        <f t="shared" si="262"/>
        <v>744.05</v>
      </c>
      <c r="BF167" s="482">
        <f t="shared" si="263"/>
        <v>548.01499999999999</v>
      </c>
      <c r="BG167" s="482">
        <f t="shared" si="264"/>
        <v>746.81500000000005</v>
      </c>
    </row>
    <row r="168" spans="1:59">
      <c r="A168" s="213" t="s">
        <v>5316</v>
      </c>
      <c r="B168" s="231">
        <v>644924848</v>
      </c>
      <c r="C168" s="210" t="s">
        <v>1</v>
      </c>
      <c r="D168" s="210">
        <v>3600</v>
      </c>
      <c r="F168" s="239" t="str" cm="1">
        <f t="array" aca="1" ref="F168" ca="1">MID(met2utc(PEPSSI_Commanding[[#This Row],[MET]]),3,15)</f>
        <v>26-179/03:55:33</v>
      </c>
      <c r="G168" s="213" t="str">
        <f t="shared" si="215"/>
        <v>N1+3600</v>
      </c>
      <c r="H168" s="214">
        <f t="shared" si="216"/>
        <v>644923315</v>
      </c>
      <c r="I168" s="214">
        <f t="shared" si="217"/>
        <v>644924995</v>
      </c>
      <c r="J168" s="213">
        <f t="shared" si="218"/>
        <v>8</v>
      </c>
      <c r="K168" s="213">
        <f t="shared" si="219"/>
        <v>2</v>
      </c>
      <c r="M168" s="210">
        <f t="shared" si="220"/>
        <v>3600</v>
      </c>
      <c r="N168" s="210">
        <f t="shared" si="221"/>
        <v>40</v>
      </c>
      <c r="O168" s="210">
        <f t="shared" si="222"/>
        <v>7200</v>
      </c>
      <c r="P168" s="210">
        <f t="shared" si="223"/>
        <v>1</v>
      </c>
      <c r="Q168" s="210" t="str">
        <f t="shared" si="224"/>
        <v/>
      </c>
      <c r="R168" s="210" t="str">
        <f t="shared" si="225"/>
        <v/>
      </c>
      <c r="S168" s="210" t="str">
        <f t="shared" si="226"/>
        <v/>
      </c>
      <c r="U168" s="482">
        <f t="shared" si="227"/>
        <v>0</v>
      </c>
      <c r="V168" s="482">
        <f t="shared" si="228"/>
        <v>0</v>
      </c>
      <c r="W168" s="482">
        <f t="shared" si="229"/>
        <v>512</v>
      </c>
      <c r="X168" s="482">
        <f t="shared" si="230"/>
        <v>0.55222222222222217</v>
      </c>
      <c r="Y168" s="482">
        <f t="shared" si="231"/>
        <v>33.25</v>
      </c>
      <c r="Z168" s="482">
        <f t="shared" si="232"/>
        <v>33.25</v>
      </c>
      <c r="AA168" s="482">
        <f t="shared" si="233"/>
        <v>2.7650000000000001</v>
      </c>
      <c r="AB168" s="243"/>
      <c r="AC168" s="482">
        <f t="shared" si="234"/>
        <v>0.55222222222222217</v>
      </c>
      <c r="AD168" s="482">
        <f t="shared" si="235"/>
        <v>2.7650000000000001</v>
      </c>
      <c r="AE168" s="482">
        <f t="shared" si="236"/>
        <v>3.3172222222222221</v>
      </c>
      <c r="AF168" s="482">
        <f t="shared" si="237"/>
        <v>33.25</v>
      </c>
      <c r="AG168" s="482">
        <f t="shared" si="238"/>
        <v>33.80222222222222</v>
      </c>
      <c r="AH168" s="482">
        <f t="shared" si="239"/>
        <v>36.015000000000001</v>
      </c>
      <c r="AI168" s="482">
        <f t="shared" si="240"/>
        <v>36.56722222222222</v>
      </c>
      <c r="AJ168" s="482">
        <f t="shared" si="241"/>
        <v>0</v>
      </c>
      <c r="AK168" s="482">
        <f t="shared" si="242"/>
        <v>0.55222222222222217</v>
      </c>
      <c r="AL168" s="482">
        <f t="shared" si="243"/>
        <v>2.7650000000000001</v>
      </c>
      <c r="AM168" s="482">
        <f t="shared" si="244"/>
        <v>3.3172222222222221</v>
      </c>
      <c r="AN168" s="482">
        <f t="shared" si="245"/>
        <v>33.25</v>
      </c>
      <c r="AO168" s="482">
        <f t="shared" si="246"/>
        <v>33.80222222222222</v>
      </c>
      <c r="AP168" s="482">
        <f t="shared" si="247"/>
        <v>36.015000000000001</v>
      </c>
      <c r="AQ168" s="482">
        <f t="shared" si="248"/>
        <v>36.56722222222222</v>
      </c>
      <c r="AR168" s="482">
        <f t="shared" si="249"/>
        <v>512</v>
      </c>
      <c r="AS168" s="482">
        <f t="shared" si="250"/>
        <v>512.55222222222221</v>
      </c>
      <c r="AT168" s="482">
        <f t="shared" si="251"/>
        <v>514.76499999999999</v>
      </c>
      <c r="AU168" s="482">
        <f t="shared" si="252"/>
        <v>515.3172222222222</v>
      </c>
      <c r="AV168" s="482">
        <f t="shared" si="253"/>
        <v>545.25</v>
      </c>
      <c r="AW168" s="482">
        <f t="shared" si="254"/>
        <v>545.80222222222221</v>
      </c>
      <c r="AX168" s="482">
        <f t="shared" si="255"/>
        <v>548.01499999999999</v>
      </c>
      <c r="AY168" s="482">
        <f t="shared" si="256"/>
        <v>548.5672222222222</v>
      </c>
      <c r="AZ168" s="482">
        <f t="shared" si="257"/>
        <v>512</v>
      </c>
      <c r="BA168" s="482">
        <f t="shared" si="258"/>
        <v>512.55222222222221</v>
      </c>
      <c r="BB168" s="482">
        <f t="shared" si="259"/>
        <v>514.76499999999999</v>
      </c>
      <c r="BC168" s="482">
        <f t="shared" si="260"/>
        <v>515.3172222222222</v>
      </c>
      <c r="BD168" s="482">
        <f t="shared" si="261"/>
        <v>545.25</v>
      </c>
      <c r="BE168" s="482">
        <f t="shared" si="262"/>
        <v>545.80222222222221</v>
      </c>
      <c r="BF168" s="482">
        <f t="shared" si="263"/>
        <v>548.01499999999999</v>
      </c>
      <c r="BG168" s="482">
        <f t="shared" si="264"/>
        <v>548.5672222222222</v>
      </c>
    </row>
    <row r="169" spans="1:59">
      <c r="A169" s="213" t="s">
        <v>5317</v>
      </c>
      <c r="B169" s="231">
        <v>644924849</v>
      </c>
      <c r="C169" s="210" t="s">
        <v>5284</v>
      </c>
      <c r="D169" s="210">
        <v>300</v>
      </c>
      <c r="F169" s="239" t="str" cm="1">
        <f t="array" aca="1" ref="F169" ca="1">MID(met2utc(PEPSSI_Commanding[[#This Row],[MET]]),3,15)</f>
        <v>26-179/03:55:34</v>
      </c>
      <c r="G169" s="213" t="str">
        <f t="shared" si="215"/>
        <v>STAT+300</v>
      </c>
      <c r="H169" s="214">
        <f t="shared" si="216"/>
        <v>644923315</v>
      </c>
      <c r="I169" s="214">
        <f t="shared" si="217"/>
        <v>644924995</v>
      </c>
      <c r="J169" s="213">
        <f t="shared" si="218"/>
        <v>9</v>
      </c>
      <c r="K169" s="213">
        <f t="shared" si="219"/>
        <v>1</v>
      </c>
      <c r="M169" s="210">
        <f t="shared" si="220"/>
        <v>3600</v>
      </c>
      <c r="N169" s="210">
        <f t="shared" si="221"/>
        <v>40</v>
      </c>
      <c r="O169" s="210">
        <f t="shared" si="222"/>
        <v>7200</v>
      </c>
      <c r="P169" s="210">
        <f t="shared" si="223"/>
        <v>300</v>
      </c>
      <c r="Q169" s="210" t="str">
        <f t="shared" si="224"/>
        <v/>
      </c>
      <c r="R169" s="210" t="str">
        <f t="shared" si="225"/>
        <v/>
      </c>
      <c r="S169" s="210" t="str">
        <f t="shared" si="226"/>
        <v/>
      </c>
      <c r="U169" s="482">
        <f t="shared" si="227"/>
        <v>0</v>
      </c>
      <c r="V169" s="482">
        <f t="shared" si="228"/>
        <v>0</v>
      </c>
      <c r="W169" s="482">
        <f t="shared" si="229"/>
        <v>1.7066666666666668</v>
      </c>
      <c r="X169" s="482">
        <f t="shared" si="230"/>
        <v>0.55222222222222217</v>
      </c>
      <c r="Y169" s="482">
        <f t="shared" si="231"/>
        <v>33.25</v>
      </c>
      <c r="Z169" s="482">
        <f t="shared" si="232"/>
        <v>33.25</v>
      </c>
      <c r="AA169" s="482">
        <f t="shared" si="233"/>
        <v>2.7650000000000001</v>
      </c>
      <c r="AB169" s="243"/>
      <c r="AC169" s="482">
        <f t="shared" si="234"/>
        <v>0.55222222222222217</v>
      </c>
      <c r="AD169" s="482">
        <f t="shared" si="235"/>
        <v>2.7650000000000001</v>
      </c>
      <c r="AE169" s="482">
        <f t="shared" si="236"/>
        <v>3.3172222222222221</v>
      </c>
      <c r="AF169" s="482">
        <f t="shared" si="237"/>
        <v>33.25</v>
      </c>
      <c r="AG169" s="482">
        <f t="shared" si="238"/>
        <v>33.80222222222222</v>
      </c>
      <c r="AH169" s="482">
        <f t="shared" si="239"/>
        <v>36.015000000000001</v>
      </c>
      <c r="AI169" s="482">
        <f t="shared" si="240"/>
        <v>36.56722222222222</v>
      </c>
      <c r="AJ169" s="482">
        <f t="shared" si="241"/>
        <v>0</v>
      </c>
      <c r="AK169" s="482">
        <f t="shared" si="242"/>
        <v>0.55222222222222217</v>
      </c>
      <c r="AL169" s="482">
        <f t="shared" si="243"/>
        <v>2.7650000000000001</v>
      </c>
      <c r="AM169" s="482">
        <f t="shared" si="244"/>
        <v>3.3172222222222221</v>
      </c>
      <c r="AN169" s="482">
        <f t="shared" si="245"/>
        <v>33.25</v>
      </c>
      <c r="AO169" s="482">
        <f t="shared" si="246"/>
        <v>33.80222222222222</v>
      </c>
      <c r="AP169" s="482">
        <f t="shared" si="247"/>
        <v>36.015000000000001</v>
      </c>
      <c r="AQ169" s="482">
        <f t="shared" si="248"/>
        <v>36.56722222222222</v>
      </c>
      <c r="AR169" s="482">
        <f t="shared" si="249"/>
        <v>1.7066666666666668</v>
      </c>
      <c r="AS169" s="482">
        <f t="shared" si="250"/>
        <v>2.2588888888888889</v>
      </c>
      <c r="AT169" s="482">
        <f t="shared" si="251"/>
        <v>4.4716666666666667</v>
      </c>
      <c r="AU169" s="482">
        <f t="shared" si="252"/>
        <v>5.0238888888888891</v>
      </c>
      <c r="AV169" s="482">
        <f t="shared" si="253"/>
        <v>34.956666666666663</v>
      </c>
      <c r="AW169" s="482">
        <f t="shared" si="254"/>
        <v>35.508888888888883</v>
      </c>
      <c r="AX169" s="482">
        <f t="shared" si="255"/>
        <v>37.721666666666664</v>
      </c>
      <c r="AY169" s="482">
        <f t="shared" si="256"/>
        <v>38.273888888888884</v>
      </c>
      <c r="AZ169" s="482">
        <f t="shared" si="257"/>
        <v>1.7066666666666668</v>
      </c>
      <c r="BA169" s="482">
        <f t="shared" si="258"/>
        <v>2.2588888888888889</v>
      </c>
      <c r="BB169" s="482">
        <f t="shared" si="259"/>
        <v>4.4716666666666667</v>
      </c>
      <c r="BC169" s="482">
        <f t="shared" si="260"/>
        <v>5.0238888888888891</v>
      </c>
      <c r="BD169" s="482">
        <f t="shared" si="261"/>
        <v>34.956666666666663</v>
      </c>
      <c r="BE169" s="482">
        <f t="shared" si="262"/>
        <v>35.508888888888883</v>
      </c>
      <c r="BF169" s="482">
        <f t="shared" si="263"/>
        <v>37.721666666666664</v>
      </c>
      <c r="BG169" s="482">
        <f t="shared" si="264"/>
        <v>38.273888888888884</v>
      </c>
    </row>
    <row r="170" spans="1:59">
      <c r="A170" s="213" t="s">
        <v>5316</v>
      </c>
      <c r="B170" s="231">
        <v>644924995</v>
      </c>
      <c r="C170" s="210" t="s">
        <v>61</v>
      </c>
      <c r="D170" s="210">
        <v>360</v>
      </c>
      <c r="F170" s="239" t="str" cm="1">
        <f t="array" aca="1" ref="F170" ca="1">MID(met2utc(PEPSSI_Commanding[[#This Row],[MET]]),3,15)</f>
        <v>26-179/03:58:00</v>
      </c>
      <c r="G170" s="213" t="str">
        <f t="shared" si="215"/>
        <v>N2+360</v>
      </c>
      <c r="H170" s="214">
        <f t="shared" si="216"/>
        <v>644924995</v>
      </c>
      <c r="I170" s="214">
        <f t="shared" si="217"/>
        <v>646883515</v>
      </c>
      <c r="J170" s="213">
        <f t="shared" si="218"/>
        <v>10</v>
      </c>
      <c r="K170" s="213">
        <f t="shared" si="219"/>
        <v>7</v>
      </c>
      <c r="M170" s="210">
        <f t="shared" si="220"/>
        <v>3600</v>
      </c>
      <c r="N170" s="210">
        <f t="shared" si="221"/>
        <v>360</v>
      </c>
      <c r="O170" s="210">
        <f t="shared" si="222"/>
        <v>7200</v>
      </c>
      <c r="P170" s="210">
        <f t="shared" si="223"/>
        <v>300</v>
      </c>
      <c r="Q170" s="210" t="str">
        <f t="shared" si="224"/>
        <v/>
      </c>
      <c r="R170" s="210" t="str">
        <f t="shared" si="225"/>
        <v/>
      </c>
      <c r="S170" s="210" t="str">
        <f t="shared" si="226"/>
        <v/>
      </c>
      <c r="U170" s="482">
        <f t="shared" si="227"/>
        <v>0</v>
      </c>
      <c r="V170" s="482">
        <f t="shared" si="228"/>
        <v>0</v>
      </c>
      <c r="W170" s="482">
        <f t="shared" si="229"/>
        <v>1.7066666666666668</v>
      </c>
      <c r="X170" s="482">
        <f t="shared" si="230"/>
        <v>0.55222222222222217</v>
      </c>
      <c r="Y170" s="482">
        <f t="shared" si="231"/>
        <v>3.6944444444444446</v>
      </c>
      <c r="Z170" s="482">
        <f t="shared" si="232"/>
        <v>3.6944444444444446</v>
      </c>
      <c r="AA170" s="482">
        <f t="shared" si="233"/>
        <v>2.7650000000000001</v>
      </c>
      <c r="AB170" s="243"/>
      <c r="AC170" s="482">
        <f t="shared" si="234"/>
        <v>0.55222222222222217</v>
      </c>
      <c r="AD170" s="482">
        <f t="shared" si="235"/>
        <v>2.7650000000000001</v>
      </c>
      <c r="AE170" s="482">
        <f t="shared" si="236"/>
        <v>3.3172222222222221</v>
      </c>
      <c r="AF170" s="482">
        <f t="shared" si="237"/>
        <v>3.6944444444444446</v>
      </c>
      <c r="AG170" s="482">
        <f t="shared" si="238"/>
        <v>4.246666666666667</v>
      </c>
      <c r="AH170" s="482">
        <f t="shared" si="239"/>
        <v>6.4594444444444452</v>
      </c>
      <c r="AI170" s="482">
        <f t="shared" si="240"/>
        <v>7.0116666666666676</v>
      </c>
      <c r="AJ170" s="482">
        <f t="shared" si="241"/>
        <v>0</v>
      </c>
      <c r="AK170" s="482">
        <f t="shared" si="242"/>
        <v>0.55222222222222217</v>
      </c>
      <c r="AL170" s="482">
        <f t="shared" si="243"/>
        <v>2.7650000000000001</v>
      </c>
      <c r="AM170" s="482">
        <f t="shared" si="244"/>
        <v>3.3172222222222221</v>
      </c>
      <c r="AN170" s="482">
        <f t="shared" si="245"/>
        <v>3.6944444444444446</v>
      </c>
      <c r="AO170" s="482">
        <f t="shared" si="246"/>
        <v>4.246666666666667</v>
      </c>
      <c r="AP170" s="482">
        <f t="shared" si="247"/>
        <v>6.4594444444444452</v>
      </c>
      <c r="AQ170" s="482">
        <f t="shared" si="248"/>
        <v>7.0116666666666676</v>
      </c>
      <c r="AR170" s="482">
        <f t="shared" si="249"/>
        <v>1.7066666666666668</v>
      </c>
      <c r="AS170" s="482">
        <f t="shared" si="250"/>
        <v>2.2588888888888889</v>
      </c>
      <c r="AT170" s="482">
        <f t="shared" si="251"/>
        <v>4.4716666666666667</v>
      </c>
      <c r="AU170" s="482">
        <f t="shared" si="252"/>
        <v>5.0238888888888891</v>
      </c>
      <c r="AV170" s="482">
        <f t="shared" si="253"/>
        <v>5.4011111111111116</v>
      </c>
      <c r="AW170" s="482">
        <f t="shared" si="254"/>
        <v>5.953333333333334</v>
      </c>
      <c r="AX170" s="482">
        <f t="shared" si="255"/>
        <v>8.1661111111111122</v>
      </c>
      <c r="AY170" s="482">
        <f t="shared" si="256"/>
        <v>8.7183333333333337</v>
      </c>
      <c r="AZ170" s="482">
        <f t="shared" si="257"/>
        <v>1.7066666666666668</v>
      </c>
      <c r="BA170" s="482">
        <f t="shared" si="258"/>
        <v>2.2588888888888889</v>
      </c>
      <c r="BB170" s="482">
        <f t="shared" si="259"/>
        <v>4.4716666666666667</v>
      </c>
      <c r="BC170" s="482">
        <f t="shared" si="260"/>
        <v>5.0238888888888891</v>
      </c>
      <c r="BD170" s="482">
        <f t="shared" si="261"/>
        <v>5.4011111111111116</v>
      </c>
      <c r="BE170" s="482">
        <f t="shared" si="262"/>
        <v>5.953333333333334</v>
      </c>
      <c r="BF170" s="482">
        <f t="shared" si="263"/>
        <v>8.1661111111111122</v>
      </c>
      <c r="BG170" s="482">
        <f t="shared" si="264"/>
        <v>8.7183333333333337</v>
      </c>
    </row>
    <row r="171" spans="1:59">
      <c r="A171" s="213" t="s">
        <v>5316</v>
      </c>
      <c r="B171" s="231">
        <v>644924998</v>
      </c>
      <c r="C171" s="210" t="s">
        <v>1</v>
      </c>
      <c r="D171" s="210">
        <v>360</v>
      </c>
      <c r="F171" s="239" t="str" cm="1">
        <f t="array" aca="1" ref="F171" ca="1">MID(met2utc(PEPSSI_Commanding[[#This Row],[MET]]),3,15)</f>
        <v>26-179/03:58:03</v>
      </c>
      <c r="G171" s="213" t="str">
        <f t="shared" si="215"/>
        <v>N1+360</v>
      </c>
      <c r="H171" s="214">
        <f t="shared" si="216"/>
        <v>644924995</v>
      </c>
      <c r="I171" s="214">
        <f t="shared" si="217"/>
        <v>646883515</v>
      </c>
      <c r="J171" s="213">
        <f t="shared" si="218"/>
        <v>11</v>
      </c>
      <c r="K171" s="213">
        <f t="shared" si="219"/>
        <v>6</v>
      </c>
      <c r="M171" s="210">
        <f t="shared" si="220"/>
        <v>360</v>
      </c>
      <c r="N171" s="210">
        <f t="shared" si="221"/>
        <v>360</v>
      </c>
      <c r="O171" s="210">
        <f t="shared" si="222"/>
        <v>7200</v>
      </c>
      <c r="P171" s="210">
        <f t="shared" si="223"/>
        <v>300</v>
      </c>
      <c r="Q171" s="210" t="str">
        <f t="shared" si="224"/>
        <v/>
      </c>
      <c r="R171" s="210" t="str">
        <f t="shared" si="225"/>
        <v/>
      </c>
      <c r="S171" s="210" t="str">
        <f t="shared" si="226"/>
        <v/>
      </c>
      <c r="U171" s="482">
        <f t="shared" si="227"/>
        <v>0</v>
      </c>
      <c r="V171" s="482">
        <f t="shared" si="228"/>
        <v>0</v>
      </c>
      <c r="W171" s="482">
        <f t="shared" si="229"/>
        <v>1.7066666666666668</v>
      </c>
      <c r="X171" s="482">
        <f t="shared" si="230"/>
        <v>5.5222222222222221</v>
      </c>
      <c r="Y171" s="482">
        <f t="shared" si="231"/>
        <v>3.6944444444444446</v>
      </c>
      <c r="Z171" s="482">
        <f t="shared" si="232"/>
        <v>3.6944444444444446</v>
      </c>
      <c r="AA171" s="482">
        <f t="shared" si="233"/>
        <v>2.7650000000000001</v>
      </c>
      <c r="AB171" s="243"/>
      <c r="AC171" s="482">
        <f t="shared" si="234"/>
        <v>5.5222222222222221</v>
      </c>
      <c r="AD171" s="482">
        <f t="shared" si="235"/>
        <v>2.7650000000000001</v>
      </c>
      <c r="AE171" s="482">
        <f t="shared" si="236"/>
        <v>8.2872222222222227</v>
      </c>
      <c r="AF171" s="482">
        <f t="shared" si="237"/>
        <v>3.6944444444444446</v>
      </c>
      <c r="AG171" s="482">
        <f t="shared" si="238"/>
        <v>9.2166666666666668</v>
      </c>
      <c r="AH171" s="482">
        <f t="shared" si="239"/>
        <v>6.4594444444444452</v>
      </c>
      <c r="AI171" s="482">
        <f t="shared" si="240"/>
        <v>11.981666666666667</v>
      </c>
      <c r="AJ171" s="482">
        <f t="shared" si="241"/>
        <v>0</v>
      </c>
      <c r="AK171" s="482">
        <f t="shared" si="242"/>
        <v>5.5222222222222221</v>
      </c>
      <c r="AL171" s="482">
        <f t="shared" si="243"/>
        <v>2.7650000000000001</v>
      </c>
      <c r="AM171" s="482">
        <f t="shared" si="244"/>
        <v>8.2872222222222227</v>
      </c>
      <c r="AN171" s="482">
        <f t="shared" si="245"/>
        <v>3.6944444444444446</v>
      </c>
      <c r="AO171" s="482">
        <f t="shared" si="246"/>
        <v>9.2166666666666668</v>
      </c>
      <c r="AP171" s="482">
        <f t="shared" si="247"/>
        <v>6.4594444444444452</v>
      </c>
      <c r="AQ171" s="482">
        <f t="shared" si="248"/>
        <v>11.981666666666667</v>
      </c>
      <c r="AR171" s="482">
        <f t="shared" si="249"/>
        <v>1.7066666666666668</v>
      </c>
      <c r="AS171" s="482">
        <f t="shared" si="250"/>
        <v>7.2288888888888891</v>
      </c>
      <c r="AT171" s="482">
        <f t="shared" si="251"/>
        <v>4.4716666666666667</v>
      </c>
      <c r="AU171" s="482">
        <f t="shared" si="252"/>
        <v>9.9938888888888897</v>
      </c>
      <c r="AV171" s="482">
        <f t="shared" si="253"/>
        <v>5.4011111111111116</v>
      </c>
      <c r="AW171" s="482">
        <f t="shared" si="254"/>
        <v>10.923333333333334</v>
      </c>
      <c r="AX171" s="482">
        <f t="shared" si="255"/>
        <v>8.1661111111111122</v>
      </c>
      <c r="AY171" s="482">
        <f t="shared" si="256"/>
        <v>13.688333333333334</v>
      </c>
      <c r="AZ171" s="482">
        <f t="shared" si="257"/>
        <v>1.7066666666666668</v>
      </c>
      <c r="BA171" s="482">
        <f t="shared" si="258"/>
        <v>7.2288888888888891</v>
      </c>
      <c r="BB171" s="482">
        <f t="shared" si="259"/>
        <v>4.4716666666666667</v>
      </c>
      <c r="BC171" s="482">
        <f t="shared" si="260"/>
        <v>9.9938888888888897</v>
      </c>
      <c r="BD171" s="482">
        <f t="shared" si="261"/>
        <v>5.4011111111111116</v>
      </c>
      <c r="BE171" s="482">
        <f t="shared" si="262"/>
        <v>10.923333333333334</v>
      </c>
      <c r="BF171" s="482">
        <f t="shared" si="263"/>
        <v>8.1661111111111122</v>
      </c>
      <c r="BG171" s="482">
        <f t="shared" si="264"/>
        <v>13.688333333333334</v>
      </c>
    </row>
    <row r="172" spans="1:59">
      <c r="A172" s="213" t="s">
        <v>5316</v>
      </c>
      <c r="B172" s="231">
        <v>644925001</v>
      </c>
      <c r="C172" s="210" t="s">
        <v>58</v>
      </c>
      <c r="D172" s="210">
        <v>900</v>
      </c>
      <c r="F172" s="239" t="str" cm="1">
        <f t="array" aca="1" ref="F172" ca="1">MID(met2utc(PEPSSI_Commanding[[#This Row],[MET]]),3,15)</f>
        <v>26-179/03:58:06</v>
      </c>
      <c r="G172" s="213" t="str">
        <f t="shared" si="215"/>
        <v>N3+900</v>
      </c>
      <c r="H172" s="214">
        <f t="shared" si="216"/>
        <v>644924995</v>
      </c>
      <c r="I172" s="214">
        <f t="shared" si="217"/>
        <v>646883515</v>
      </c>
      <c r="J172" s="213">
        <f t="shared" si="218"/>
        <v>12</v>
      </c>
      <c r="K172" s="213">
        <f t="shared" si="219"/>
        <v>5</v>
      </c>
      <c r="M172" s="210">
        <f t="shared" si="220"/>
        <v>360</v>
      </c>
      <c r="N172" s="210">
        <f t="shared" si="221"/>
        <v>360</v>
      </c>
      <c r="O172" s="210">
        <f t="shared" si="222"/>
        <v>900</v>
      </c>
      <c r="P172" s="210">
        <f t="shared" si="223"/>
        <v>300</v>
      </c>
      <c r="Q172" s="210" t="str">
        <f t="shared" si="224"/>
        <v/>
      </c>
      <c r="R172" s="210" t="str">
        <f t="shared" si="225"/>
        <v/>
      </c>
      <c r="S172" s="210" t="str">
        <f t="shared" si="226"/>
        <v/>
      </c>
      <c r="U172" s="482">
        <f t="shared" si="227"/>
        <v>0</v>
      </c>
      <c r="V172" s="482">
        <f t="shared" si="228"/>
        <v>0</v>
      </c>
      <c r="W172" s="482">
        <f t="shared" si="229"/>
        <v>1.7066666666666668</v>
      </c>
      <c r="X172" s="482">
        <f t="shared" si="230"/>
        <v>5.5222222222222221</v>
      </c>
      <c r="Y172" s="482">
        <f t="shared" si="231"/>
        <v>3.6944444444444446</v>
      </c>
      <c r="Z172" s="482">
        <f t="shared" si="232"/>
        <v>3.6944444444444446</v>
      </c>
      <c r="AA172" s="482">
        <f t="shared" si="233"/>
        <v>22.12</v>
      </c>
      <c r="AB172" s="243"/>
      <c r="AC172" s="482">
        <f t="shared" si="234"/>
        <v>5.5222222222222221</v>
      </c>
      <c r="AD172" s="482">
        <f t="shared" si="235"/>
        <v>22.12</v>
      </c>
      <c r="AE172" s="482">
        <f t="shared" si="236"/>
        <v>27.642222222222223</v>
      </c>
      <c r="AF172" s="482">
        <f t="shared" si="237"/>
        <v>3.6944444444444446</v>
      </c>
      <c r="AG172" s="482">
        <f t="shared" si="238"/>
        <v>9.2166666666666668</v>
      </c>
      <c r="AH172" s="482">
        <f t="shared" si="239"/>
        <v>25.814444444444447</v>
      </c>
      <c r="AI172" s="482">
        <f t="shared" si="240"/>
        <v>31.33666666666667</v>
      </c>
      <c r="AJ172" s="482">
        <f t="shared" si="241"/>
        <v>0</v>
      </c>
      <c r="AK172" s="482">
        <f t="shared" si="242"/>
        <v>5.5222222222222221</v>
      </c>
      <c r="AL172" s="482">
        <f t="shared" si="243"/>
        <v>22.12</v>
      </c>
      <c r="AM172" s="482">
        <f t="shared" si="244"/>
        <v>27.642222222222223</v>
      </c>
      <c r="AN172" s="482">
        <f t="shared" si="245"/>
        <v>3.6944444444444446</v>
      </c>
      <c r="AO172" s="482">
        <f t="shared" si="246"/>
        <v>9.2166666666666668</v>
      </c>
      <c r="AP172" s="482">
        <f t="shared" si="247"/>
        <v>25.814444444444447</v>
      </c>
      <c r="AQ172" s="482">
        <f t="shared" si="248"/>
        <v>31.33666666666667</v>
      </c>
      <c r="AR172" s="482">
        <f t="shared" si="249"/>
        <v>1.7066666666666668</v>
      </c>
      <c r="AS172" s="482">
        <f t="shared" si="250"/>
        <v>7.2288888888888891</v>
      </c>
      <c r="AT172" s="482">
        <f t="shared" si="251"/>
        <v>23.826666666666668</v>
      </c>
      <c r="AU172" s="482">
        <f t="shared" si="252"/>
        <v>29.34888888888889</v>
      </c>
      <c r="AV172" s="482">
        <f t="shared" si="253"/>
        <v>5.4011111111111116</v>
      </c>
      <c r="AW172" s="482">
        <f t="shared" si="254"/>
        <v>10.923333333333334</v>
      </c>
      <c r="AX172" s="482">
        <f t="shared" si="255"/>
        <v>27.521111111111111</v>
      </c>
      <c r="AY172" s="482">
        <f t="shared" si="256"/>
        <v>33.043333333333337</v>
      </c>
      <c r="AZ172" s="482">
        <f t="shared" si="257"/>
        <v>1.7066666666666668</v>
      </c>
      <c r="BA172" s="482">
        <f t="shared" si="258"/>
        <v>7.2288888888888891</v>
      </c>
      <c r="BB172" s="482">
        <f t="shared" si="259"/>
        <v>23.826666666666668</v>
      </c>
      <c r="BC172" s="482">
        <f t="shared" si="260"/>
        <v>29.34888888888889</v>
      </c>
      <c r="BD172" s="482">
        <f t="shared" si="261"/>
        <v>5.4011111111111116</v>
      </c>
      <c r="BE172" s="482">
        <f t="shared" si="262"/>
        <v>10.923333333333334</v>
      </c>
      <c r="BF172" s="482">
        <f t="shared" si="263"/>
        <v>27.521111111111111</v>
      </c>
      <c r="BG172" s="482">
        <f t="shared" si="264"/>
        <v>33.043333333333337</v>
      </c>
    </row>
    <row r="173" spans="1:59">
      <c r="A173" s="213" t="s">
        <v>5317</v>
      </c>
      <c r="B173" s="231">
        <v>644925004</v>
      </c>
      <c r="C173" s="210" t="s">
        <v>5284</v>
      </c>
      <c r="D173" s="210">
        <v>1800</v>
      </c>
      <c r="F173" s="239" t="str" cm="1">
        <f t="array" aca="1" ref="F173" ca="1">MID(met2utc(PEPSSI_Commanding[[#This Row],[MET]]),3,15)</f>
        <v>26-179/03:58:09</v>
      </c>
      <c r="G173" s="213" t="str">
        <f t="shared" si="215"/>
        <v>STAT+1800</v>
      </c>
      <c r="H173" s="214">
        <f t="shared" si="216"/>
        <v>644924995</v>
      </c>
      <c r="I173" s="214">
        <f t="shared" si="217"/>
        <v>646883515</v>
      </c>
      <c r="J173" s="213">
        <f t="shared" si="218"/>
        <v>13</v>
      </c>
      <c r="K173" s="213">
        <f t="shared" si="219"/>
        <v>4</v>
      </c>
      <c r="M173" s="210">
        <f t="shared" si="220"/>
        <v>360</v>
      </c>
      <c r="N173" s="210">
        <f t="shared" si="221"/>
        <v>360</v>
      </c>
      <c r="O173" s="210">
        <f t="shared" si="222"/>
        <v>900</v>
      </c>
      <c r="P173" s="210">
        <f t="shared" si="223"/>
        <v>1800</v>
      </c>
      <c r="Q173" s="210" t="str">
        <f t="shared" si="224"/>
        <v/>
      </c>
      <c r="R173" s="210" t="str">
        <f t="shared" si="225"/>
        <v/>
      </c>
      <c r="S173" s="210" t="str">
        <f t="shared" si="226"/>
        <v/>
      </c>
      <c r="U173" s="482">
        <f t="shared" si="227"/>
        <v>0</v>
      </c>
      <c r="V173" s="482">
        <f t="shared" si="228"/>
        <v>0</v>
      </c>
      <c r="W173" s="482">
        <f t="shared" si="229"/>
        <v>0.28444444444444444</v>
      </c>
      <c r="X173" s="482">
        <f t="shared" si="230"/>
        <v>5.5222222222222221</v>
      </c>
      <c r="Y173" s="482">
        <f t="shared" si="231"/>
        <v>3.6944444444444446</v>
      </c>
      <c r="Z173" s="482">
        <f t="shared" si="232"/>
        <v>3.6944444444444446</v>
      </c>
      <c r="AA173" s="482">
        <f t="shared" si="233"/>
        <v>22.12</v>
      </c>
      <c r="AB173" s="243"/>
      <c r="AC173" s="482">
        <f t="shared" si="234"/>
        <v>5.5222222222222221</v>
      </c>
      <c r="AD173" s="482">
        <f t="shared" si="235"/>
        <v>22.12</v>
      </c>
      <c r="AE173" s="482">
        <f t="shared" si="236"/>
        <v>27.642222222222223</v>
      </c>
      <c r="AF173" s="482">
        <f t="shared" si="237"/>
        <v>3.6944444444444446</v>
      </c>
      <c r="AG173" s="482">
        <f t="shared" si="238"/>
        <v>9.2166666666666668</v>
      </c>
      <c r="AH173" s="482">
        <f t="shared" si="239"/>
        <v>25.814444444444447</v>
      </c>
      <c r="AI173" s="482">
        <f t="shared" si="240"/>
        <v>31.33666666666667</v>
      </c>
      <c r="AJ173" s="482">
        <f t="shared" si="241"/>
        <v>0</v>
      </c>
      <c r="AK173" s="482">
        <f t="shared" si="242"/>
        <v>5.5222222222222221</v>
      </c>
      <c r="AL173" s="482">
        <f t="shared" si="243"/>
        <v>22.12</v>
      </c>
      <c r="AM173" s="482">
        <f t="shared" si="244"/>
        <v>27.642222222222223</v>
      </c>
      <c r="AN173" s="482">
        <f t="shared" si="245"/>
        <v>3.6944444444444446</v>
      </c>
      <c r="AO173" s="482">
        <f t="shared" si="246"/>
        <v>9.2166666666666668</v>
      </c>
      <c r="AP173" s="482">
        <f t="shared" si="247"/>
        <v>25.814444444444447</v>
      </c>
      <c r="AQ173" s="482">
        <f t="shared" si="248"/>
        <v>31.33666666666667</v>
      </c>
      <c r="AR173" s="482">
        <f t="shared" si="249"/>
        <v>0.28444444444444444</v>
      </c>
      <c r="AS173" s="482">
        <f t="shared" si="250"/>
        <v>5.8066666666666666</v>
      </c>
      <c r="AT173" s="482">
        <f t="shared" si="251"/>
        <v>22.404444444444444</v>
      </c>
      <c r="AU173" s="482">
        <f t="shared" si="252"/>
        <v>27.926666666666666</v>
      </c>
      <c r="AV173" s="482">
        <f t="shared" si="253"/>
        <v>3.9788888888888891</v>
      </c>
      <c r="AW173" s="482">
        <f t="shared" si="254"/>
        <v>9.5011111111111113</v>
      </c>
      <c r="AX173" s="482">
        <f t="shared" si="255"/>
        <v>26.09888888888889</v>
      </c>
      <c r="AY173" s="482">
        <f t="shared" si="256"/>
        <v>31.621111111111112</v>
      </c>
      <c r="AZ173" s="482">
        <f t="shared" si="257"/>
        <v>0.28444444444444444</v>
      </c>
      <c r="BA173" s="482">
        <f t="shared" si="258"/>
        <v>5.8066666666666666</v>
      </c>
      <c r="BB173" s="482">
        <f t="shared" si="259"/>
        <v>22.404444444444444</v>
      </c>
      <c r="BC173" s="482">
        <f t="shared" si="260"/>
        <v>27.926666666666666</v>
      </c>
      <c r="BD173" s="482">
        <f t="shared" si="261"/>
        <v>3.9788888888888891</v>
      </c>
      <c r="BE173" s="482">
        <f t="shared" si="262"/>
        <v>9.5011111111111113</v>
      </c>
      <c r="BF173" s="482">
        <f t="shared" si="263"/>
        <v>26.09888888888889</v>
      </c>
      <c r="BG173" s="482">
        <f t="shared" si="264"/>
        <v>31.621111111111112</v>
      </c>
    </row>
    <row r="174" spans="1:59">
      <c r="A174" s="213" t="s">
        <v>5315</v>
      </c>
      <c r="B174" s="231">
        <v>644925055</v>
      </c>
      <c r="C174" s="210" t="s">
        <v>5285</v>
      </c>
      <c r="D174" s="210">
        <v>102</v>
      </c>
      <c r="F174" s="239" t="str" cm="1">
        <f t="array" aca="1" ref="F174" ca="1">MID(met2utc(PEPSSI_Commanding[[#This Row],[MET]]),3,15)</f>
        <v>26-179/03:59:00</v>
      </c>
      <c r="G174" s="213" t="str">
        <f t="shared" ref="G174:G183" si="265">_xlfn.TEXTJOIN("+",TRUE,$C174:$D174)</f>
        <v>MAC+102</v>
      </c>
      <c r="H174" s="214">
        <f t="shared" ref="H174:H183" si="266">IF($C174="ON",$B174,IF(RIGHT($H173,9)="MET Start","",IF(AND($K174&lt;&gt;0,$K173=1),$B174,$H173)))</f>
        <v>644924995</v>
      </c>
      <c r="I174" s="214">
        <f t="shared" ref="I174:I183" si="267">IF($C174="OFF",$B174,IF($B175="",$B174+31500000,IF($K174=1,$B175,I175)))</f>
        <v>646883515</v>
      </c>
      <c r="J174" s="213">
        <f t="shared" ref="J174:J183" si="268">IF($G174="ON",0,IF(OR(J173="",LEFT(J173,6)="Offset"),"",J173+1))</f>
        <v>14</v>
      </c>
      <c r="K174" s="213">
        <f t="shared" ref="K174:K183" si="269">IF($G174="OFF",0,IF(AND($J175&lt;&gt;0,$J174&lt;&gt;9,$G175&lt;&gt;"MAC+111",($B175-$B174)&lt;7200),K175+1,1))</f>
        <v>3</v>
      </c>
      <c r="M174" s="210">
        <f t="shared" ref="M174:M183" si="270">IF($C174="ON","",IF($C174="N1",$D174,IF(M173="N1","",M173)))</f>
        <v>360</v>
      </c>
      <c r="N174" s="210">
        <f t="shared" ref="N174:N183" si="271">IF($C174="ON","",IF($C174="N2",$D174,IF($G174="MAC+103",3,IF($G174="MAC+104",2,IF(N173="N2","",N173)))))</f>
        <v>360</v>
      </c>
      <c r="O174" s="210">
        <f t="shared" ref="O174:O183" si="272">IF($C174="ON","",IF($C174="N3",$D174,IF(O173="N3","",O173)))</f>
        <v>900</v>
      </c>
      <c r="P174" s="210">
        <f t="shared" ref="P174:P183" si="273">IF($C174="ON","",IF($C174="STAT",$D174,IF(P173="STAT","",P173)))</f>
        <v>1800</v>
      </c>
      <c r="Q174" s="210" t="str">
        <f t="shared" ref="Q174:Q183" si="274">IF(OR($C174="ON",$G174="MAC+101",AND($C174="MAC",105&lt;=$D174,$D174&lt;=110)),"",IF(OR($G174="MAC+103",$G174="MAC+104",$G174="MAC+111"),"disabled",IF(Q173="N2 disabled","",Q173)))</f>
        <v/>
      </c>
      <c r="R174" s="210" t="str">
        <f t="shared" ref="R174:R183" si="275">IF(OR($G174="ON",$G174="MAC+111"),"",IF($G174="MAC+105",300,IF(OR($G174="MAC+106",$G174="MAC+101"),600,IF($G174="MAC+107",840,IF($G174="MAC+108",1200,IF($G174="MAC+109",1800,IF($G174="MAC+110",43200,IF(LEFT(R173,4)="105-","",R173))))))))</f>
        <v/>
      </c>
      <c r="S174" s="210" t="str">
        <f t="shared" ref="S174:S183" si="276">IF($C174="ON","",IF($G174="MAC+102","102",IF(RIGHT(S173,1)="?","",S173)))</f>
        <v>102</v>
      </c>
      <c r="U174" s="482">
        <f t="shared" ref="U174:U183" si="277">IF(OR($N174="",$R174=""),0,U$1/64/$N174)</f>
        <v>0</v>
      </c>
      <c r="V174" s="482">
        <f t="shared" ref="V174:V183" si="278">IF(OR($N174="",$R174=""),0,V$1/64/$N174)</f>
        <v>0</v>
      </c>
      <c r="W174" s="482">
        <f t="shared" ref="W174:W183" si="279">IF($P174="",0,W$1/$P174)</f>
        <v>0.28444444444444444</v>
      </c>
      <c r="X174" s="482">
        <f t="shared" ref="X174:X183" si="280">IF($M174="",0,X$1/$M174)</f>
        <v>5.5222222222222221</v>
      </c>
      <c r="Y174" s="482">
        <f t="shared" ref="Y174:Y183" si="281">IF(OR($N174="",$Q174&lt;&gt;""),0,Y$1/$N174)</f>
        <v>3.6944444444444446</v>
      </c>
      <c r="Z174" s="482">
        <f t="shared" ref="Z174:Z183" si="282">IF($N174="",0,IF($R174="",1,R174/43200)*Y174)</f>
        <v>3.6944444444444446</v>
      </c>
      <c r="AA174" s="482">
        <f t="shared" ref="AA174:AA183" si="283">IF($O174="",0,AA$1/$O174)</f>
        <v>22.12</v>
      </c>
      <c r="AB174" s="243"/>
      <c r="AC174" s="482">
        <f t="shared" ref="AC174:AC183" si="284">IF(AC$3&lt;&gt;"",$W174,0)+IF(AC$4&lt;&gt;"",$U174,0)+IF(AC$5&lt;&gt;"",$Z174+IF($S174&lt;&gt;"102",$V174,0),0)+IF(AC$6&lt;&gt;"",$AA174+IF($S174="102",$V174,0),0)+IF(AC$7&lt;&gt;"",$X174,0)</f>
        <v>5.5222222222222221</v>
      </c>
      <c r="AD174" s="482">
        <f t="shared" ref="AD174:AD183" si="285">IF(AD$3&lt;&gt;"",$W174,0)+IF(AD$4&lt;&gt;"",$U174,0)+IF(AD$5&lt;&gt;"",$Z174+IF($S174&lt;&gt;"102",$V174,0),0)+IF(AD$6&lt;&gt;"",$AA174+IF($S174="102",$V174,0),0)+IF(AD$7&lt;&gt;"",$X174,0)</f>
        <v>22.12</v>
      </c>
      <c r="AE174" s="482">
        <f t="shared" ref="AE174:AE183" si="286">IF(AE$3&lt;&gt;"",$W174,0)+IF(AE$4&lt;&gt;"",$U174,0)+IF(AE$5&lt;&gt;"",$Z174+IF($S174&lt;&gt;"102",$V174,0),0)+IF(AE$6&lt;&gt;"",$AA174+IF($S174="102",$V174,0),0)+IF(AE$7&lt;&gt;"",$X174,0)</f>
        <v>27.642222222222223</v>
      </c>
      <c r="AF174" s="482">
        <f t="shared" ref="AF174:AF183" si="287">IF(AF$3&lt;&gt;"",$W174,0)+IF(AF$4&lt;&gt;"",$U174,0)+IF(AF$5&lt;&gt;"",$Z174+IF($S174&lt;&gt;"102",$V174,0),0)+IF(AF$6&lt;&gt;"",$AA174+IF($S174="102",$V174,0),0)+IF(AF$7&lt;&gt;"",$X174,0)</f>
        <v>3.6944444444444446</v>
      </c>
      <c r="AG174" s="482">
        <f t="shared" ref="AG174:AG183" si="288">IF(AG$3&lt;&gt;"",$W174,0)+IF(AG$4&lt;&gt;"",$U174,0)+IF(AG$5&lt;&gt;"",$Z174+IF($S174&lt;&gt;"102",$V174,0),0)+IF(AG$6&lt;&gt;"",$AA174+IF($S174="102",$V174,0),0)+IF(AG$7&lt;&gt;"",$X174,0)</f>
        <v>9.2166666666666668</v>
      </c>
      <c r="AH174" s="482">
        <f t="shared" ref="AH174:AH183" si="289">IF(AH$3&lt;&gt;"",$W174,0)+IF(AH$4&lt;&gt;"",$U174,0)+IF(AH$5&lt;&gt;"",$Z174+IF($S174&lt;&gt;"102",$V174,0),0)+IF(AH$6&lt;&gt;"",$AA174+IF($S174="102",$V174,0),0)+IF(AH$7&lt;&gt;"",$X174,0)</f>
        <v>25.814444444444447</v>
      </c>
      <c r="AI174" s="482">
        <f t="shared" ref="AI174:AI183" si="290">IF(AI$3&lt;&gt;"",$W174,0)+IF(AI$4&lt;&gt;"",$U174,0)+IF(AI$5&lt;&gt;"",$Z174+IF($S174&lt;&gt;"102",$V174,0),0)+IF(AI$6&lt;&gt;"",$AA174+IF($S174="102",$V174,0),0)+IF(AI$7&lt;&gt;"",$X174,0)</f>
        <v>31.33666666666667</v>
      </c>
      <c r="AJ174" s="482">
        <f t="shared" ref="AJ174:AJ183" si="291">IF(AJ$3&lt;&gt;"",$W174,0)+IF(AJ$4&lt;&gt;"",$U174,0)+IF(AJ$5&lt;&gt;"",$Z174+IF($S174&lt;&gt;"102",$V174,0),0)+IF(AJ$6&lt;&gt;"",$AA174+IF($S174="102",$V174,0),0)+IF(AJ$7&lt;&gt;"",$X174,0)</f>
        <v>0</v>
      </c>
      <c r="AK174" s="482">
        <f t="shared" ref="AK174:AK183" si="292">IF(AK$3&lt;&gt;"",$W174,0)+IF(AK$4&lt;&gt;"",$U174,0)+IF(AK$5&lt;&gt;"",$Z174+IF($S174&lt;&gt;"102",$V174,0),0)+IF(AK$6&lt;&gt;"",$AA174+IF($S174="102",$V174,0),0)+IF(AK$7&lt;&gt;"",$X174,0)</f>
        <v>5.5222222222222221</v>
      </c>
      <c r="AL174" s="482">
        <f t="shared" ref="AL174:AL183" si="293">IF(AL$3&lt;&gt;"",$W174,0)+IF(AL$4&lt;&gt;"",$U174,0)+IF(AL$5&lt;&gt;"",$Z174+IF($S174&lt;&gt;"102",$V174,0),0)+IF(AL$6&lt;&gt;"",$AA174+IF($S174="102",$V174,0),0)+IF(AL$7&lt;&gt;"",$X174,0)</f>
        <v>22.12</v>
      </c>
      <c r="AM174" s="482">
        <f t="shared" ref="AM174:AM183" si="294">IF(AM$3&lt;&gt;"",$W174,0)+IF(AM$4&lt;&gt;"",$U174,0)+IF(AM$5&lt;&gt;"",$Z174+IF($S174&lt;&gt;"102",$V174,0),0)+IF(AM$6&lt;&gt;"",$AA174+IF($S174="102",$V174,0),0)+IF(AM$7&lt;&gt;"",$X174,0)</f>
        <v>27.642222222222223</v>
      </c>
      <c r="AN174" s="482">
        <f t="shared" ref="AN174:AN183" si="295">IF(AN$3&lt;&gt;"",$W174,0)+IF(AN$4&lt;&gt;"",$U174,0)+IF(AN$5&lt;&gt;"",$Z174+IF($S174&lt;&gt;"102",$V174,0),0)+IF(AN$6&lt;&gt;"",$AA174+IF($S174="102",$V174,0),0)+IF(AN$7&lt;&gt;"",$X174,0)</f>
        <v>3.6944444444444446</v>
      </c>
      <c r="AO174" s="482">
        <f t="shared" ref="AO174:AO183" si="296">IF(AO$3&lt;&gt;"",$W174,0)+IF(AO$4&lt;&gt;"",$U174,0)+IF(AO$5&lt;&gt;"",$Z174+IF($S174&lt;&gt;"102",$V174,0),0)+IF(AO$6&lt;&gt;"",$AA174+IF($S174="102",$V174,0),0)+IF(AO$7&lt;&gt;"",$X174,0)</f>
        <v>9.2166666666666668</v>
      </c>
      <c r="AP174" s="482">
        <f t="shared" ref="AP174:AP183" si="297">IF(AP$3&lt;&gt;"",$W174,0)+IF(AP$4&lt;&gt;"",$U174,0)+IF(AP$5&lt;&gt;"",$Z174+IF($S174&lt;&gt;"102",$V174,0),0)+IF(AP$6&lt;&gt;"",$AA174+IF($S174="102",$V174,0),0)+IF(AP$7&lt;&gt;"",$X174,0)</f>
        <v>25.814444444444447</v>
      </c>
      <c r="AQ174" s="482">
        <f t="shared" ref="AQ174:AQ183" si="298">IF(AQ$3&lt;&gt;"",$W174,0)+IF(AQ$4&lt;&gt;"",$U174,0)+IF(AQ$5&lt;&gt;"",$Z174+IF($S174&lt;&gt;"102",$V174,0),0)+IF(AQ$6&lt;&gt;"",$AA174+IF($S174="102",$V174,0),0)+IF(AQ$7&lt;&gt;"",$X174,0)</f>
        <v>31.33666666666667</v>
      </c>
      <c r="AR174" s="482">
        <f t="shared" ref="AR174:AR183" si="299">IF(AR$3&lt;&gt;"",$W174,0)+IF(AR$4&lt;&gt;"",$U174,0)+IF(AR$5&lt;&gt;"",$Z174+IF($S174&lt;&gt;"102",$V174,0),0)+IF(AR$6&lt;&gt;"",$AA174+IF($S174="102",$V174,0),0)+IF(AR$7&lt;&gt;"",$X174,0)</f>
        <v>0.28444444444444444</v>
      </c>
      <c r="AS174" s="482">
        <f t="shared" ref="AS174:AS183" si="300">IF(AS$3&lt;&gt;"",$W174,0)+IF(AS$4&lt;&gt;"",$U174,0)+IF(AS$5&lt;&gt;"",$Z174+IF($S174&lt;&gt;"102",$V174,0),0)+IF(AS$6&lt;&gt;"",$AA174+IF($S174="102",$V174,0),0)+IF(AS$7&lt;&gt;"",$X174,0)</f>
        <v>5.8066666666666666</v>
      </c>
      <c r="AT174" s="482">
        <f t="shared" ref="AT174:AT183" si="301">IF(AT$3&lt;&gt;"",$W174,0)+IF(AT$4&lt;&gt;"",$U174,0)+IF(AT$5&lt;&gt;"",$Z174+IF($S174&lt;&gt;"102",$V174,0),0)+IF(AT$6&lt;&gt;"",$AA174+IF($S174="102",$V174,0),0)+IF(AT$7&lt;&gt;"",$X174,0)</f>
        <v>22.404444444444444</v>
      </c>
      <c r="AU174" s="482">
        <f t="shared" ref="AU174:AU183" si="302">IF(AU$3&lt;&gt;"",$W174,0)+IF(AU$4&lt;&gt;"",$U174,0)+IF(AU$5&lt;&gt;"",$Z174+IF($S174&lt;&gt;"102",$V174,0),0)+IF(AU$6&lt;&gt;"",$AA174+IF($S174="102",$V174,0),0)+IF(AU$7&lt;&gt;"",$X174,0)</f>
        <v>27.926666666666666</v>
      </c>
      <c r="AV174" s="482">
        <f t="shared" ref="AV174:AV183" si="303">IF(AV$3&lt;&gt;"",$W174,0)+IF(AV$4&lt;&gt;"",$U174,0)+IF(AV$5&lt;&gt;"",$Z174+IF($S174&lt;&gt;"102",$V174,0),0)+IF(AV$6&lt;&gt;"",$AA174+IF($S174="102",$V174,0),0)+IF(AV$7&lt;&gt;"",$X174,0)</f>
        <v>3.9788888888888891</v>
      </c>
      <c r="AW174" s="482">
        <f t="shared" ref="AW174:AW183" si="304">IF(AW$3&lt;&gt;"",$W174,0)+IF(AW$4&lt;&gt;"",$U174,0)+IF(AW$5&lt;&gt;"",$Z174+IF($S174&lt;&gt;"102",$V174,0),0)+IF(AW$6&lt;&gt;"",$AA174+IF($S174="102",$V174,0),0)+IF(AW$7&lt;&gt;"",$X174,0)</f>
        <v>9.5011111111111113</v>
      </c>
      <c r="AX174" s="482">
        <f t="shared" ref="AX174:AX183" si="305">IF(AX$3&lt;&gt;"",$W174,0)+IF(AX$4&lt;&gt;"",$U174,0)+IF(AX$5&lt;&gt;"",$Z174+IF($S174&lt;&gt;"102",$V174,0),0)+IF(AX$6&lt;&gt;"",$AA174+IF($S174="102",$V174,0),0)+IF(AX$7&lt;&gt;"",$X174,0)</f>
        <v>26.09888888888889</v>
      </c>
      <c r="AY174" s="482">
        <f t="shared" ref="AY174:AY183" si="306">IF(AY$3&lt;&gt;"",$W174,0)+IF(AY$4&lt;&gt;"",$U174,0)+IF(AY$5&lt;&gt;"",$Z174+IF($S174&lt;&gt;"102",$V174,0),0)+IF(AY$6&lt;&gt;"",$AA174+IF($S174="102",$V174,0),0)+IF(AY$7&lt;&gt;"",$X174,0)</f>
        <v>31.621111111111112</v>
      </c>
      <c r="AZ174" s="482">
        <f t="shared" ref="AZ174:AZ183" si="307">IF(AZ$3&lt;&gt;"",$W174,0)+IF(AZ$4&lt;&gt;"",$U174,0)+IF(AZ$5&lt;&gt;"",$Z174+IF($S174&lt;&gt;"102",$V174,0),0)+IF(AZ$6&lt;&gt;"",$AA174+IF($S174="102",$V174,0),0)+IF(AZ$7&lt;&gt;"",$X174,0)</f>
        <v>0.28444444444444444</v>
      </c>
      <c r="BA174" s="482">
        <f t="shared" ref="BA174:BA183" si="308">IF(BA$3&lt;&gt;"",$W174,0)+IF(BA$4&lt;&gt;"",$U174,0)+IF(BA$5&lt;&gt;"",$Z174+IF($S174&lt;&gt;"102",$V174,0),0)+IF(BA$6&lt;&gt;"",$AA174+IF($S174="102",$V174,0),0)+IF(BA$7&lt;&gt;"",$X174,0)</f>
        <v>5.8066666666666666</v>
      </c>
      <c r="BB174" s="482">
        <f t="shared" ref="BB174:BB183" si="309">IF(BB$3&lt;&gt;"",$W174,0)+IF(BB$4&lt;&gt;"",$U174,0)+IF(BB$5&lt;&gt;"",$Z174+IF($S174&lt;&gt;"102",$V174,0),0)+IF(BB$6&lt;&gt;"",$AA174+IF($S174="102",$V174,0),0)+IF(BB$7&lt;&gt;"",$X174,0)</f>
        <v>22.404444444444444</v>
      </c>
      <c r="BC174" s="482">
        <f t="shared" ref="BC174:BC183" si="310">IF(BC$3&lt;&gt;"",$W174,0)+IF(BC$4&lt;&gt;"",$U174,0)+IF(BC$5&lt;&gt;"",$Z174+IF($S174&lt;&gt;"102",$V174,0),0)+IF(BC$6&lt;&gt;"",$AA174+IF($S174="102",$V174,0),0)+IF(BC$7&lt;&gt;"",$X174,0)</f>
        <v>27.926666666666666</v>
      </c>
      <c r="BD174" s="482">
        <f t="shared" ref="BD174:BD183" si="311">IF(BD$3&lt;&gt;"",$W174,0)+IF(BD$4&lt;&gt;"",$U174,0)+IF(BD$5&lt;&gt;"",$Z174+IF($S174&lt;&gt;"102",$V174,0),0)+IF(BD$6&lt;&gt;"",$AA174+IF($S174="102",$V174,0),0)+IF(BD$7&lt;&gt;"",$X174,0)</f>
        <v>3.9788888888888891</v>
      </c>
      <c r="BE174" s="482">
        <f t="shared" ref="BE174:BE183" si="312">IF(BE$3&lt;&gt;"",$W174,0)+IF(BE$4&lt;&gt;"",$U174,0)+IF(BE$5&lt;&gt;"",$Z174+IF($S174&lt;&gt;"102",$V174,0),0)+IF(BE$6&lt;&gt;"",$AA174+IF($S174="102",$V174,0),0)+IF(BE$7&lt;&gt;"",$X174,0)</f>
        <v>9.5011111111111113</v>
      </c>
      <c r="BF174" s="482">
        <f t="shared" ref="BF174:BF183" si="313">IF(BF$3&lt;&gt;"",$W174,0)+IF(BF$4&lt;&gt;"",$U174,0)+IF(BF$5&lt;&gt;"",$Z174+IF($S174&lt;&gt;"102",$V174,0),0)+IF(BF$6&lt;&gt;"",$AA174+IF($S174="102",$V174,0),0)+IF(BF$7&lt;&gt;"",$X174,0)</f>
        <v>26.09888888888889</v>
      </c>
      <c r="BG174" s="482">
        <f t="shared" ref="BG174:BG183" si="314">IF(BG$3&lt;&gt;"",$W174,0)+IF(BG$4&lt;&gt;"",$U174,0)+IF(BG$5&lt;&gt;"",$Z174+IF($S174&lt;&gt;"102",$V174,0),0)+IF(BG$6&lt;&gt;"",$AA174+IF($S174="102",$V174,0),0)+IF(BG$7&lt;&gt;"",$X174,0)</f>
        <v>31.621111111111112</v>
      </c>
    </row>
    <row r="175" spans="1:59">
      <c r="A175" s="213" t="s">
        <v>5315</v>
      </c>
      <c r="B175" s="231">
        <v>644925655</v>
      </c>
      <c r="C175" s="210" t="s">
        <v>5285</v>
      </c>
      <c r="D175" s="210">
        <v>104</v>
      </c>
      <c r="F175" s="239" t="str" cm="1">
        <f t="array" aca="1" ref="F175" ca="1">MID(met2utc(PEPSSI_Commanding[[#This Row],[MET]]),3,15)</f>
        <v>26-179/04:09:00</v>
      </c>
      <c r="G175" s="213" t="str">
        <f t="shared" si="265"/>
        <v>MAC+104</v>
      </c>
      <c r="H175" s="214">
        <f t="shared" si="266"/>
        <v>644924995</v>
      </c>
      <c r="I175" s="214">
        <f t="shared" si="267"/>
        <v>646883515</v>
      </c>
      <c r="J175" s="213">
        <f t="shared" si="268"/>
        <v>15</v>
      </c>
      <c r="K175" s="213">
        <f t="shared" si="269"/>
        <v>2</v>
      </c>
      <c r="M175" s="210">
        <f t="shared" si="270"/>
        <v>360</v>
      </c>
      <c r="N175" s="210">
        <f t="shared" si="271"/>
        <v>2</v>
      </c>
      <c r="O175" s="210">
        <f t="shared" si="272"/>
        <v>900</v>
      </c>
      <c r="P175" s="210">
        <f t="shared" si="273"/>
        <v>1800</v>
      </c>
      <c r="Q175" s="210" t="str">
        <f t="shared" si="274"/>
        <v>disabled</v>
      </c>
      <c r="R175" s="210" t="str">
        <f t="shared" si="275"/>
        <v/>
      </c>
      <c r="S175" s="210" t="str">
        <f t="shared" si="276"/>
        <v>102</v>
      </c>
      <c r="U175" s="482">
        <f t="shared" si="277"/>
        <v>0</v>
      </c>
      <c r="V175" s="482">
        <f t="shared" si="278"/>
        <v>0</v>
      </c>
      <c r="W175" s="482">
        <f t="shared" si="279"/>
        <v>0.28444444444444444</v>
      </c>
      <c r="X175" s="482">
        <f t="shared" si="280"/>
        <v>5.5222222222222221</v>
      </c>
      <c r="Y175" s="482">
        <f t="shared" si="281"/>
        <v>0</v>
      </c>
      <c r="Z175" s="482">
        <f t="shared" si="282"/>
        <v>0</v>
      </c>
      <c r="AA175" s="482">
        <f t="shared" si="283"/>
        <v>22.12</v>
      </c>
      <c r="AB175" s="243"/>
      <c r="AC175" s="482">
        <f t="shared" si="284"/>
        <v>5.5222222222222221</v>
      </c>
      <c r="AD175" s="482">
        <f t="shared" si="285"/>
        <v>22.12</v>
      </c>
      <c r="AE175" s="482">
        <f t="shared" si="286"/>
        <v>27.642222222222223</v>
      </c>
      <c r="AF175" s="482">
        <f t="shared" si="287"/>
        <v>0</v>
      </c>
      <c r="AG175" s="482">
        <f t="shared" si="288"/>
        <v>5.5222222222222221</v>
      </c>
      <c r="AH175" s="482">
        <f t="shared" si="289"/>
        <v>22.12</v>
      </c>
      <c r="AI175" s="482">
        <f t="shared" si="290"/>
        <v>27.642222222222223</v>
      </c>
      <c r="AJ175" s="482">
        <f t="shared" si="291"/>
        <v>0</v>
      </c>
      <c r="AK175" s="482">
        <f t="shared" si="292"/>
        <v>5.5222222222222221</v>
      </c>
      <c r="AL175" s="482">
        <f t="shared" si="293"/>
        <v>22.12</v>
      </c>
      <c r="AM175" s="482">
        <f t="shared" si="294"/>
        <v>27.642222222222223</v>
      </c>
      <c r="AN175" s="482">
        <f t="shared" si="295"/>
        <v>0</v>
      </c>
      <c r="AO175" s="482">
        <f t="shared" si="296"/>
        <v>5.5222222222222221</v>
      </c>
      <c r="AP175" s="482">
        <f t="shared" si="297"/>
        <v>22.12</v>
      </c>
      <c r="AQ175" s="482">
        <f t="shared" si="298"/>
        <v>27.642222222222223</v>
      </c>
      <c r="AR175" s="482">
        <f t="shared" si="299"/>
        <v>0.28444444444444444</v>
      </c>
      <c r="AS175" s="482">
        <f t="shared" si="300"/>
        <v>5.8066666666666666</v>
      </c>
      <c r="AT175" s="482">
        <f t="shared" si="301"/>
        <v>22.404444444444444</v>
      </c>
      <c r="AU175" s="482">
        <f t="shared" si="302"/>
        <v>27.926666666666666</v>
      </c>
      <c r="AV175" s="482">
        <f t="shared" si="303"/>
        <v>0.28444444444444444</v>
      </c>
      <c r="AW175" s="482">
        <f t="shared" si="304"/>
        <v>5.8066666666666666</v>
      </c>
      <c r="AX175" s="482">
        <f t="shared" si="305"/>
        <v>22.404444444444444</v>
      </c>
      <c r="AY175" s="482">
        <f t="shared" si="306"/>
        <v>27.926666666666666</v>
      </c>
      <c r="AZ175" s="482">
        <f t="shared" si="307"/>
        <v>0.28444444444444444</v>
      </c>
      <c r="BA175" s="482">
        <f t="shared" si="308"/>
        <v>5.8066666666666666</v>
      </c>
      <c r="BB175" s="482">
        <f t="shared" si="309"/>
        <v>22.404444444444444</v>
      </c>
      <c r="BC175" s="482">
        <f t="shared" si="310"/>
        <v>27.926666666666666</v>
      </c>
      <c r="BD175" s="482">
        <f t="shared" si="311"/>
        <v>0.28444444444444444</v>
      </c>
      <c r="BE175" s="482">
        <f t="shared" si="312"/>
        <v>5.8066666666666666</v>
      </c>
      <c r="BF175" s="482">
        <f t="shared" si="313"/>
        <v>22.404444444444444</v>
      </c>
      <c r="BG175" s="482">
        <f t="shared" si="314"/>
        <v>27.926666666666666</v>
      </c>
    </row>
    <row r="176" spans="1:59">
      <c r="A176" s="213" t="s">
        <v>5315</v>
      </c>
      <c r="B176" s="231">
        <v>644926255</v>
      </c>
      <c r="C176" s="210" t="s">
        <v>5285</v>
      </c>
      <c r="D176" s="210">
        <v>105</v>
      </c>
      <c r="F176" s="239" t="str" cm="1">
        <f t="array" aca="1" ref="F176" ca="1">MID(met2utc(PEPSSI_Commanding[[#This Row],[MET]]),3,15)</f>
        <v>26-179/04:19:00</v>
      </c>
      <c r="G176" s="213" t="str">
        <f t="shared" si="265"/>
        <v>MAC+105</v>
      </c>
      <c r="H176" s="214">
        <f t="shared" si="266"/>
        <v>644924995</v>
      </c>
      <c r="I176" s="214">
        <f t="shared" si="267"/>
        <v>646883515</v>
      </c>
      <c r="J176" s="213">
        <f t="shared" si="268"/>
        <v>16</v>
      </c>
      <c r="K176" s="213">
        <f t="shared" si="269"/>
        <v>1</v>
      </c>
      <c r="M176" s="210">
        <f t="shared" si="270"/>
        <v>360</v>
      </c>
      <c r="N176" s="210">
        <f t="shared" si="271"/>
        <v>2</v>
      </c>
      <c r="O176" s="210">
        <f t="shared" si="272"/>
        <v>900</v>
      </c>
      <c r="P176" s="210">
        <f t="shared" si="273"/>
        <v>1800</v>
      </c>
      <c r="Q176" s="210" t="str">
        <f t="shared" si="274"/>
        <v/>
      </c>
      <c r="R176" s="210">
        <f t="shared" si="275"/>
        <v>300</v>
      </c>
      <c r="S176" s="210" t="str">
        <f t="shared" si="276"/>
        <v>102</v>
      </c>
      <c r="U176" s="482">
        <f t="shared" si="277"/>
        <v>4.40625</v>
      </c>
      <c r="V176" s="482">
        <f t="shared" si="278"/>
        <v>18.28125</v>
      </c>
      <c r="W176" s="482">
        <f t="shared" si="279"/>
        <v>0.28444444444444444</v>
      </c>
      <c r="X176" s="482">
        <f t="shared" si="280"/>
        <v>5.5222222222222221</v>
      </c>
      <c r="Y176" s="482">
        <f t="shared" si="281"/>
        <v>665</v>
      </c>
      <c r="Z176" s="482">
        <f t="shared" si="282"/>
        <v>4.6180555555555554</v>
      </c>
      <c r="AA176" s="482">
        <f t="shared" si="283"/>
        <v>22.12</v>
      </c>
      <c r="AB176" s="243"/>
      <c r="AC176" s="482">
        <f t="shared" si="284"/>
        <v>5.5222222222222221</v>
      </c>
      <c r="AD176" s="482">
        <f t="shared" si="285"/>
        <v>40.401250000000005</v>
      </c>
      <c r="AE176" s="482">
        <f t="shared" si="286"/>
        <v>45.92347222222223</v>
      </c>
      <c r="AF176" s="482">
        <f t="shared" si="287"/>
        <v>4.6180555555555554</v>
      </c>
      <c r="AG176" s="482">
        <f t="shared" si="288"/>
        <v>10.140277777777778</v>
      </c>
      <c r="AH176" s="482">
        <f t="shared" si="289"/>
        <v>45.019305555555562</v>
      </c>
      <c r="AI176" s="482">
        <f t="shared" si="290"/>
        <v>50.541527777777787</v>
      </c>
      <c r="AJ176" s="482">
        <f t="shared" si="291"/>
        <v>4.40625</v>
      </c>
      <c r="AK176" s="482">
        <f t="shared" si="292"/>
        <v>9.9284722222222221</v>
      </c>
      <c r="AL176" s="482">
        <f t="shared" si="293"/>
        <v>44.807500000000005</v>
      </c>
      <c r="AM176" s="482">
        <f t="shared" si="294"/>
        <v>50.32972222222223</v>
      </c>
      <c r="AN176" s="482">
        <f t="shared" si="295"/>
        <v>9.0243055555555554</v>
      </c>
      <c r="AO176" s="482">
        <f t="shared" si="296"/>
        <v>14.546527777777778</v>
      </c>
      <c r="AP176" s="482">
        <f t="shared" si="297"/>
        <v>49.425555555555562</v>
      </c>
      <c r="AQ176" s="482">
        <f t="shared" si="298"/>
        <v>54.947777777777787</v>
      </c>
      <c r="AR176" s="482">
        <f t="shared" si="299"/>
        <v>0.28444444444444444</v>
      </c>
      <c r="AS176" s="482">
        <f t="shared" si="300"/>
        <v>5.8066666666666666</v>
      </c>
      <c r="AT176" s="482">
        <f t="shared" si="301"/>
        <v>40.685694444444451</v>
      </c>
      <c r="AU176" s="482">
        <f t="shared" si="302"/>
        <v>46.207916666666677</v>
      </c>
      <c r="AV176" s="482">
        <f t="shared" si="303"/>
        <v>4.9024999999999999</v>
      </c>
      <c r="AW176" s="482">
        <f t="shared" si="304"/>
        <v>10.424722222222222</v>
      </c>
      <c r="AX176" s="482">
        <f t="shared" si="305"/>
        <v>45.303750000000008</v>
      </c>
      <c r="AY176" s="482">
        <f t="shared" si="306"/>
        <v>50.825972222222234</v>
      </c>
      <c r="AZ176" s="482">
        <f t="shared" si="307"/>
        <v>4.6906944444444445</v>
      </c>
      <c r="BA176" s="482">
        <f t="shared" si="308"/>
        <v>10.212916666666667</v>
      </c>
      <c r="BB176" s="482">
        <f t="shared" si="309"/>
        <v>45.091944444444451</v>
      </c>
      <c r="BC176" s="482">
        <f t="shared" si="310"/>
        <v>50.614166666666677</v>
      </c>
      <c r="BD176" s="482">
        <f t="shared" si="311"/>
        <v>9.3087499999999999</v>
      </c>
      <c r="BE176" s="482">
        <f t="shared" si="312"/>
        <v>14.830972222222222</v>
      </c>
      <c r="BF176" s="482">
        <f t="shared" si="313"/>
        <v>49.710000000000008</v>
      </c>
      <c r="BG176" s="482">
        <f t="shared" si="314"/>
        <v>55.232222222222234</v>
      </c>
    </row>
    <row r="177" spans="1:59">
      <c r="A177" s="213" t="s">
        <v>5315</v>
      </c>
      <c r="B177" s="231">
        <v>646883515</v>
      </c>
      <c r="C177" s="210" t="s">
        <v>5285</v>
      </c>
      <c r="D177" s="210">
        <v>111</v>
      </c>
      <c r="F177" s="239" t="str" cm="1">
        <f t="array" aca="1" ref="F177" ca="1">MID(met2utc(PEPSSI_Commanding[[#This Row],[MET]]),3,15)</f>
        <v>26-201/20:00:00</v>
      </c>
      <c r="G177" s="213" t="str">
        <f t="shared" si="265"/>
        <v>MAC+111</v>
      </c>
      <c r="H177" s="214">
        <f t="shared" si="266"/>
        <v>646883515</v>
      </c>
      <c r="I177" s="214">
        <f t="shared" si="267"/>
        <v>678385315</v>
      </c>
      <c r="J177" s="213">
        <f t="shared" si="268"/>
        <v>17</v>
      </c>
      <c r="K177" s="213">
        <f t="shared" si="269"/>
        <v>7</v>
      </c>
      <c r="M177" s="210">
        <f t="shared" si="270"/>
        <v>360</v>
      </c>
      <c r="N177" s="210">
        <f t="shared" si="271"/>
        <v>2</v>
      </c>
      <c r="O177" s="210">
        <f t="shared" si="272"/>
        <v>900</v>
      </c>
      <c r="P177" s="210">
        <f t="shared" si="273"/>
        <v>1800</v>
      </c>
      <c r="Q177" s="210" t="str">
        <f t="shared" si="274"/>
        <v>disabled</v>
      </c>
      <c r="R177" s="210" t="str">
        <f t="shared" si="275"/>
        <v/>
      </c>
      <c r="S177" s="210" t="str">
        <f t="shared" si="276"/>
        <v>102</v>
      </c>
      <c r="U177" s="482">
        <f t="shared" si="277"/>
        <v>0</v>
      </c>
      <c r="V177" s="482">
        <f t="shared" si="278"/>
        <v>0</v>
      </c>
      <c r="W177" s="482">
        <f t="shared" si="279"/>
        <v>0.28444444444444444</v>
      </c>
      <c r="X177" s="482">
        <f t="shared" si="280"/>
        <v>5.5222222222222221</v>
      </c>
      <c r="Y177" s="482">
        <f t="shared" si="281"/>
        <v>0</v>
      </c>
      <c r="Z177" s="482">
        <f t="shared" si="282"/>
        <v>0</v>
      </c>
      <c r="AA177" s="482">
        <f t="shared" si="283"/>
        <v>22.12</v>
      </c>
      <c r="AB177" s="243"/>
      <c r="AC177" s="482">
        <f t="shared" si="284"/>
        <v>5.5222222222222221</v>
      </c>
      <c r="AD177" s="482">
        <f t="shared" si="285"/>
        <v>22.12</v>
      </c>
      <c r="AE177" s="482">
        <f t="shared" si="286"/>
        <v>27.642222222222223</v>
      </c>
      <c r="AF177" s="482">
        <f t="shared" si="287"/>
        <v>0</v>
      </c>
      <c r="AG177" s="482">
        <f t="shared" si="288"/>
        <v>5.5222222222222221</v>
      </c>
      <c r="AH177" s="482">
        <f t="shared" si="289"/>
        <v>22.12</v>
      </c>
      <c r="AI177" s="482">
        <f t="shared" si="290"/>
        <v>27.642222222222223</v>
      </c>
      <c r="AJ177" s="482">
        <f t="shared" si="291"/>
        <v>0</v>
      </c>
      <c r="AK177" s="482">
        <f t="shared" si="292"/>
        <v>5.5222222222222221</v>
      </c>
      <c r="AL177" s="482">
        <f t="shared" si="293"/>
        <v>22.12</v>
      </c>
      <c r="AM177" s="482">
        <f t="shared" si="294"/>
        <v>27.642222222222223</v>
      </c>
      <c r="AN177" s="482">
        <f t="shared" si="295"/>
        <v>0</v>
      </c>
      <c r="AO177" s="482">
        <f t="shared" si="296"/>
        <v>5.5222222222222221</v>
      </c>
      <c r="AP177" s="482">
        <f t="shared" si="297"/>
        <v>22.12</v>
      </c>
      <c r="AQ177" s="482">
        <f t="shared" si="298"/>
        <v>27.642222222222223</v>
      </c>
      <c r="AR177" s="482">
        <f t="shared" si="299"/>
        <v>0.28444444444444444</v>
      </c>
      <c r="AS177" s="482">
        <f t="shared" si="300"/>
        <v>5.8066666666666666</v>
      </c>
      <c r="AT177" s="482">
        <f t="shared" si="301"/>
        <v>22.404444444444444</v>
      </c>
      <c r="AU177" s="482">
        <f t="shared" si="302"/>
        <v>27.926666666666666</v>
      </c>
      <c r="AV177" s="482">
        <f t="shared" si="303"/>
        <v>0.28444444444444444</v>
      </c>
      <c r="AW177" s="482">
        <f t="shared" si="304"/>
        <v>5.8066666666666666</v>
      </c>
      <c r="AX177" s="482">
        <f t="shared" si="305"/>
        <v>22.404444444444444</v>
      </c>
      <c r="AY177" s="482">
        <f t="shared" si="306"/>
        <v>27.926666666666666</v>
      </c>
      <c r="AZ177" s="482">
        <f t="shared" si="307"/>
        <v>0.28444444444444444</v>
      </c>
      <c r="BA177" s="482">
        <f t="shared" si="308"/>
        <v>5.8066666666666666</v>
      </c>
      <c r="BB177" s="482">
        <f t="shared" si="309"/>
        <v>22.404444444444444</v>
      </c>
      <c r="BC177" s="482">
        <f t="shared" si="310"/>
        <v>27.926666666666666</v>
      </c>
      <c r="BD177" s="482">
        <f t="shared" si="311"/>
        <v>0.28444444444444444</v>
      </c>
      <c r="BE177" s="482">
        <f t="shared" si="312"/>
        <v>5.8066666666666666</v>
      </c>
      <c r="BF177" s="482">
        <f t="shared" si="313"/>
        <v>22.404444444444444</v>
      </c>
      <c r="BG177" s="482">
        <f t="shared" si="314"/>
        <v>27.926666666666666</v>
      </c>
    </row>
    <row r="178" spans="1:59">
      <c r="A178" s="213" t="s">
        <v>5316</v>
      </c>
      <c r="B178" s="231">
        <v>646884115</v>
      </c>
      <c r="C178" s="210" t="s">
        <v>61</v>
      </c>
      <c r="D178" s="210">
        <v>360</v>
      </c>
      <c r="F178" s="239" t="str" cm="1">
        <f t="array" aca="1" ref="F178" ca="1">MID(met2utc(PEPSSI_Commanding[[#This Row],[MET]]),3,15)</f>
        <v>26-201/20:10:00</v>
      </c>
      <c r="G178" s="213" t="str">
        <f t="shared" si="265"/>
        <v>N2+360</v>
      </c>
      <c r="H178" s="214">
        <f t="shared" si="266"/>
        <v>646883515</v>
      </c>
      <c r="I178" s="214">
        <f t="shared" si="267"/>
        <v>678385315</v>
      </c>
      <c r="J178" s="213">
        <f t="shared" si="268"/>
        <v>18</v>
      </c>
      <c r="K178" s="213">
        <f t="shared" si="269"/>
        <v>6</v>
      </c>
      <c r="M178" s="210">
        <f t="shared" si="270"/>
        <v>360</v>
      </c>
      <c r="N178" s="210">
        <f t="shared" si="271"/>
        <v>360</v>
      </c>
      <c r="O178" s="210">
        <f t="shared" si="272"/>
        <v>900</v>
      </c>
      <c r="P178" s="210">
        <f t="shared" si="273"/>
        <v>1800</v>
      </c>
      <c r="Q178" s="210" t="str">
        <f t="shared" si="274"/>
        <v>disabled</v>
      </c>
      <c r="R178" s="210" t="str">
        <f t="shared" si="275"/>
        <v/>
      </c>
      <c r="S178" s="210" t="str">
        <f t="shared" si="276"/>
        <v>102</v>
      </c>
      <c r="U178" s="482">
        <f t="shared" si="277"/>
        <v>0</v>
      </c>
      <c r="V178" s="482">
        <f t="shared" si="278"/>
        <v>0</v>
      </c>
      <c r="W178" s="482">
        <f t="shared" si="279"/>
        <v>0.28444444444444444</v>
      </c>
      <c r="X178" s="482">
        <f t="shared" si="280"/>
        <v>5.5222222222222221</v>
      </c>
      <c r="Y178" s="482">
        <f t="shared" si="281"/>
        <v>0</v>
      </c>
      <c r="Z178" s="482">
        <f t="shared" si="282"/>
        <v>0</v>
      </c>
      <c r="AA178" s="482">
        <f t="shared" si="283"/>
        <v>22.12</v>
      </c>
      <c r="AB178" s="243"/>
      <c r="AC178" s="482">
        <f t="shared" si="284"/>
        <v>5.5222222222222221</v>
      </c>
      <c r="AD178" s="482">
        <f t="shared" si="285"/>
        <v>22.12</v>
      </c>
      <c r="AE178" s="482">
        <f t="shared" si="286"/>
        <v>27.642222222222223</v>
      </c>
      <c r="AF178" s="482">
        <f t="shared" si="287"/>
        <v>0</v>
      </c>
      <c r="AG178" s="482">
        <f t="shared" si="288"/>
        <v>5.5222222222222221</v>
      </c>
      <c r="AH178" s="482">
        <f t="shared" si="289"/>
        <v>22.12</v>
      </c>
      <c r="AI178" s="482">
        <f t="shared" si="290"/>
        <v>27.642222222222223</v>
      </c>
      <c r="AJ178" s="482">
        <f t="shared" si="291"/>
        <v>0</v>
      </c>
      <c r="AK178" s="482">
        <f t="shared" si="292"/>
        <v>5.5222222222222221</v>
      </c>
      <c r="AL178" s="482">
        <f t="shared" si="293"/>
        <v>22.12</v>
      </c>
      <c r="AM178" s="482">
        <f t="shared" si="294"/>
        <v>27.642222222222223</v>
      </c>
      <c r="AN178" s="482">
        <f t="shared" si="295"/>
        <v>0</v>
      </c>
      <c r="AO178" s="482">
        <f t="shared" si="296"/>
        <v>5.5222222222222221</v>
      </c>
      <c r="AP178" s="482">
        <f t="shared" si="297"/>
        <v>22.12</v>
      </c>
      <c r="AQ178" s="482">
        <f t="shared" si="298"/>
        <v>27.642222222222223</v>
      </c>
      <c r="AR178" s="482">
        <f t="shared" si="299"/>
        <v>0.28444444444444444</v>
      </c>
      <c r="AS178" s="482">
        <f t="shared" si="300"/>
        <v>5.8066666666666666</v>
      </c>
      <c r="AT178" s="482">
        <f t="shared" si="301"/>
        <v>22.404444444444444</v>
      </c>
      <c r="AU178" s="482">
        <f t="shared" si="302"/>
        <v>27.926666666666666</v>
      </c>
      <c r="AV178" s="482">
        <f t="shared" si="303"/>
        <v>0.28444444444444444</v>
      </c>
      <c r="AW178" s="482">
        <f t="shared" si="304"/>
        <v>5.8066666666666666</v>
      </c>
      <c r="AX178" s="482">
        <f t="shared" si="305"/>
        <v>22.404444444444444</v>
      </c>
      <c r="AY178" s="482">
        <f t="shared" si="306"/>
        <v>27.926666666666666</v>
      </c>
      <c r="AZ178" s="482">
        <f t="shared" si="307"/>
        <v>0.28444444444444444</v>
      </c>
      <c r="BA178" s="482">
        <f t="shared" si="308"/>
        <v>5.8066666666666666</v>
      </c>
      <c r="BB178" s="482">
        <f t="shared" si="309"/>
        <v>22.404444444444444</v>
      </c>
      <c r="BC178" s="482">
        <f t="shared" si="310"/>
        <v>27.926666666666666</v>
      </c>
      <c r="BD178" s="482">
        <f t="shared" si="311"/>
        <v>0.28444444444444444</v>
      </c>
      <c r="BE178" s="482">
        <f t="shared" si="312"/>
        <v>5.8066666666666666</v>
      </c>
      <c r="BF178" s="482">
        <f t="shared" si="313"/>
        <v>22.404444444444444</v>
      </c>
      <c r="BG178" s="482">
        <f t="shared" si="314"/>
        <v>27.926666666666666</v>
      </c>
    </row>
    <row r="179" spans="1:59">
      <c r="A179" s="213" t="s">
        <v>5316</v>
      </c>
      <c r="B179" s="231">
        <v>646884118</v>
      </c>
      <c r="C179" s="210" t="s">
        <v>1</v>
      </c>
      <c r="D179" s="210">
        <v>360</v>
      </c>
      <c r="F179" s="239" t="str" cm="1">
        <f t="array" aca="1" ref="F179" ca="1">MID(met2utc(PEPSSI_Commanding[[#This Row],[MET]]),3,15)</f>
        <v>26-201/20:10:03</v>
      </c>
      <c r="G179" s="213" t="str">
        <f t="shared" si="265"/>
        <v>N1+360</v>
      </c>
      <c r="H179" s="214">
        <f t="shared" si="266"/>
        <v>646883515</v>
      </c>
      <c r="I179" s="214">
        <f t="shared" si="267"/>
        <v>678385315</v>
      </c>
      <c r="J179" s="213">
        <f t="shared" si="268"/>
        <v>19</v>
      </c>
      <c r="K179" s="213">
        <f t="shared" si="269"/>
        <v>5</v>
      </c>
      <c r="M179" s="210">
        <f t="shared" si="270"/>
        <v>360</v>
      </c>
      <c r="N179" s="210">
        <f t="shared" si="271"/>
        <v>360</v>
      </c>
      <c r="O179" s="210">
        <f t="shared" si="272"/>
        <v>900</v>
      </c>
      <c r="P179" s="210">
        <f t="shared" si="273"/>
        <v>1800</v>
      </c>
      <c r="Q179" s="210" t="str">
        <f t="shared" si="274"/>
        <v>disabled</v>
      </c>
      <c r="R179" s="210" t="str">
        <f t="shared" si="275"/>
        <v/>
      </c>
      <c r="S179" s="210" t="str">
        <f t="shared" si="276"/>
        <v>102</v>
      </c>
      <c r="U179" s="482">
        <f t="shared" si="277"/>
        <v>0</v>
      </c>
      <c r="V179" s="482">
        <f t="shared" si="278"/>
        <v>0</v>
      </c>
      <c r="W179" s="482">
        <f t="shared" si="279"/>
        <v>0.28444444444444444</v>
      </c>
      <c r="X179" s="482">
        <f t="shared" si="280"/>
        <v>5.5222222222222221</v>
      </c>
      <c r="Y179" s="482">
        <f t="shared" si="281"/>
        <v>0</v>
      </c>
      <c r="Z179" s="482">
        <f t="shared" si="282"/>
        <v>0</v>
      </c>
      <c r="AA179" s="482">
        <f t="shared" si="283"/>
        <v>22.12</v>
      </c>
      <c r="AB179" s="243"/>
      <c r="AC179" s="482">
        <f t="shared" si="284"/>
        <v>5.5222222222222221</v>
      </c>
      <c r="AD179" s="482">
        <f t="shared" si="285"/>
        <v>22.12</v>
      </c>
      <c r="AE179" s="482">
        <f t="shared" si="286"/>
        <v>27.642222222222223</v>
      </c>
      <c r="AF179" s="482">
        <f t="shared" si="287"/>
        <v>0</v>
      </c>
      <c r="AG179" s="482">
        <f t="shared" si="288"/>
        <v>5.5222222222222221</v>
      </c>
      <c r="AH179" s="482">
        <f t="shared" si="289"/>
        <v>22.12</v>
      </c>
      <c r="AI179" s="482">
        <f t="shared" si="290"/>
        <v>27.642222222222223</v>
      </c>
      <c r="AJ179" s="482">
        <f t="shared" si="291"/>
        <v>0</v>
      </c>
      <c r="AK179" s="482">
        <f t="shared" si="292"/>
        <v>5.5222222222222221</v>
      </c>
      <c r="AL179" s="482">
        <f t="shared" si="293"/>
        <v>22.12</v>
      </c>
      <c r="AM179" s="482">
        <f t="shared" si="294"/>
        <v>27.642222222222223</v>
      </c>
      <c r="AN179" s="482">
        <f t="shared" si="295"/>
        <v>0</v>
      </c>
      <c r="AO179" s="482">
        <f t="shared" si="296"/>
        <v>5.5222222222222221</v>
      </c>
      <c r="AP179" s="482">
        <f t="shared" si="297"/>
        <v>22.12</v>
      </c>
      <c r="AQ179" s="482">
        <f t="shared" si="298"/>
        <v>27.642222222222223</v>
      </c>
      <c r="AR179" s="482">
        <f t="shared" si="299"/>
        <v>0.28444444444444444</v>
      </c>
      <c r="AS179" s="482">
        <f t="shared" si="300"/>
        <v>5.8066666666666666</v>
      </c>
      <c r="AT179" s="482">
        <f t="shared" si="301"/>
        <v>22.404444444444444</v>
      </c>
      <c r="AU179" s="482">
        <f t="shared" si="302"/>
        <v>27.926666666666666</v>
      </c>
      <c r="AV179" s="482">
        <f t="shared" si="303"/>
        <v>0.28444444444444444</v>
      </c>
      <c r="AW179" s="482">
        <f t="shared" si="304"/>
        <v>5.8066666666666666</v>
      </c>
      <c r="AX179" s="482">
        <f t="shared" si="305"/>
        <v>22.404444444444444</v>
      </c>
      <c r="AY179" s="482">
        <f t="shared" si="306"/>
        <v>27.926666666666666</v>
      </c>
      <c r="AZ179" s="482">
        <f t="shared" si="307"/>
        <v>0.28444444444444444</v>
      </c>
      <c r="BA179" s="482">
        <f t="shared" si="308"/>
        <v>5.8066666666666666</v>
      </c>
      <c r="BB179" s="482">
        <f t="shared" si="309"/>
        <v>22.404444444444444</v>
      </c>
      <c r="BC179" s="482">
        <f t="shared" si="310"/>
        <v>27.926666666666666</v>
      </c>
      <c r="BD179" s="482">
        <f t="shared" si="311"/>
        <v>0.28444444444444444</v>
      </c>
      <c r="BE179" s="482">
        <f t="shared" si="312"/>
        <v>5.8066666666666666</v>
      </c>
      <c r="BF179" s="482">
        <f t="shared" si="313"/>
        <v>22.404444444444444</v>
      </c>
      <c r="BG179" s="482">
        <f t="shared" si="314"/>
        <v>27.926666666666666</v>
      </c>
    </row>
    <row r="180" spans="1:59">
      <c r="A180" s="213" t="s">
        <v>5316</v>
      </c>
      <c r="B180" s="231">
        <v>646884121</v>
      </c>
      <c r="C180" s="210" t="s">
        <v>58</v>
      </c>
      <c r="D180" s="210">
        <v>7200</v>
      </c>
      <c r="F180" s="239" t="str" cm="1">
        <f t="array" aca="1" ref="F180" ca="1">MID(met2utc(PEPSSI_Commanding[[#This Row],[MET]]),3,15)</f>
        <v>26-201/20:10:06</v>
      </c>
      <c r="G180" s="213" t="str">
        <f t="shared" si="265"/>
        <v>N3+7200</v>
      </c>
      <c r="H180" s="214">
        <f t="shared" si="266"/>
        <v>646883515</v>
      </c>
      <c r="I180" s="214">
        <f t="shared" si="267"/>
        <v>678385315</v>
      </c>
      <c r="J180" s="213">
        <f t="shared" si="268"/>
        <v>20</v>
      </c>
      <c r="K180" s="213">
        <f t="shared" si="269"/>
        <v>4</v>
      </c>
      <c r="M180" s="210">
        <f t="shared" si="270"/>
        <v>360</v>
      </c>
      <c r="N180" s="210">
        <f t="shared" si="271"/>
        <v>360</v>
      </c>
      <c r="O180" s="210">
        <f t="shared" si="272"/>
        <v>7200</v>
      </c>
      <c r="P180" s="210">
        <f t="shared" si="273"/>
        <v>1800</v>
      </c>
      <c r="Q180" s="210" t="str">
        <f t="shared" si="274"/>
        <v>disabled</v>
      </c>
      <c r="R180" s="210" t="str">
        <f t="shared" si="275"/>
        <v/>
      </c>
      <c r="S180" s="210" t="str">
        <f t="shared" si="276"/>
        <v>102</v>
      </c>
      <c r="U180" s="482">
        <f t="shared" si="277"/>
        <v>0</v>
      </c>
      <c r="V180" s="482">
        <f t="shared" si="278"/>
        <v>0</v>
      </c>
      <c r="W180" s="482">
        <f t="shared" si="279"/>
        <v>0.28444444444444444</v>
      </c>
      <c r="X180" s="482">
        <f t="shared" si="280"/>
        <v>5.5222222222222221</v>
      </c>
      <c r="Y180" s="482">
        <f t="shared" si="281"/>
        <v>0</v>
      </c>
      <c r="Z180" s="482">
        <f t="shared" si="282"/>
        <v>0</v>
      </c>
      <c r="AA180" s="482">
        <f t="shared" si="283"/>
        <v>2.7650000000000001</v>
      </c>
      <c r="AB180" s="243"/>
      <c r="AC180" s="482">
        <f t="shared" si="284"/>
        <v>5.5222222222222221</v>
      </c>
      <c r="AD180" s="482">
        <f t="shared" si="285"/>
        <v>2.7650000000000001</v>
      </c>
      <c r="AE180" s="482">
        <f t="shared" si="286"/>
        <v>8.2872222222222227</v>
      </c>
      <c r="AF180" s="482">
        <f t="shared" si="287"/>
        <v>0</v>
      </c>
      <c r="AG180" s="482">
        <f t="shared" si="288"/>
        <v>5.5222222222222221</v>
      </c>
      <c r="AH180" s="482">
        <f t="shared" si="289"/>
        <v>2.7650000000000001</v>
      </c>
      <c r="AI180" s="482">
        <f t="shared" si="290"/>
        <v>8.2872222222222227</v>
      </c>
      <c r="AJ180" s="482">
        <f t="shared" si="291"/>
        <v>0</v>
      </c>
      <c r="AK180" s="482">
        <f t="shared" si="292"/>
        <v>5.5222222222222221</v>
      </c>
      <c r="AL180" s="482">
        <f t="shared" si="293"/>
        <v>2.7650000000000001</v>
      </c>
      <c r="AM180" s="482">
        <f t="shared" si="294"/>
        <v>8.2872222222222227</v>
      </c>
      <c r="AN180" s="482">
        <f t="shared" si="295"/>
        <v>0</v>
      </c>
      <c r="AO180" s="482">
        <f t="shared" si="296"/>
        <v>5.5222222222222221</v>
      </c>
      <c r="AP180" s="482">
        <f t="shared" si="297"/>
        <v>2.7650000000000001</v>
      </c>
      <c r="AQ180" s="482">
        <f t="shared" si="298"/>
        <v>8.2872222222222227</v>
      </c>
      <c r="AR180" s="482">
        <f t="shared" si="299"/>
        <v>0.28444444444444444</v>
      </c>
      <c r="AS180" s="482">
        <f t="shared" si="300"/>
        <v>5.8066666666666666</v>
      </c>
      <c r="AT180" s="482">
        <f t="shared" si="301"/>
        <v>3.0494444444444446</v>
      </c>
      <c r="AU180" s="482">
        <f t="shared" si="302"/>
        <v>8.5716666666666672</v>
      </c>
      <c r="AV180" s="482">
        <f t="shared" si="303"/>
        <v>0.28444444444444444</v>
      </c>
      <c r="AW180" s="482">
        <f t="shared" si="304"/>
        <v>5.8066666666666666</v>
      </c>
      <c r="AX180" s="482">
        <f t="shared" si="305"/>
        <v>3.0494444444444446</v>
      </c>
      <c r="AY180" s="482">
        <f t="shared" si="306"/>
        <v>8.5716666666666672</v>
      </c>
      <c r="AZ180" s="482">
        <f t="shared" si="307"/>
        <v>0.28444444444444444</v>
      </c>
      <c r="BA180" s="482">
        <f t="shared" si="308"/>
        <v>5.8066666666666666</v>
      </c>
      <c r="BB180" s="482">
        <f t="shared" si="309"/>
        <v>3.0494444444444446</v>
      </c>
      <c r="BC180" s="482">
        <f t="shared" si="310"/>
        <v>8.5716666666666672</v>
      </c>
      <c r="BD180" s="482">
        <f t="shared" si="311"/>
        <v>0.28444444444444444</v>
      </c>
      <c r="BE180" s="482">
        <f t="shared" si="312"/>
        <v>5.8066666666666666</v>
      </c>
      <c r="BF180" s="482">
        <f t="shared" si="313"/>
        <v>3.0494444444444446</v>
      </c>
      <c r="BG180" s="482">
        <f t="shared" si="314"/>
        <v>8.5716666666666672</v>
      </c>
    </row>
    <row r="181" spans="1:59">
      <c r="A181" s="213" t="s">
        <v>5317</v>
      </c>
      <c r="B181" s="231">
        <v>646884124</v>
      </c>
      <c r="C181" s="210" t="s">
        <v>5284</v>
      </c>
      <c r="D181" s="210">
        <v>1800</v>
      </c>
      <c r="F181" s="239" t="str" cm="1">
        <f t="array" aca="1" ref="F181" ca="1">MID(met2utc(PEPSSI_Commanding[[#This Row],[MET]]),3,15)</f>
        <v>26-201/20:10:09</v>
      </c>
      <c r="G181" s="213" t="str">
        <f t="shared" si="265"/>
        <v>STAT+1800</v>
      </c>
      <c r="H181" s="214">
        <f t="shared" si="266"/>
        <v>646883515</v>
      </c>
      <c r="I181" s="214">
        <f t="shared" si="267"/>
        <v>678385315</v>
      </c>
      <c r="J181" s="213">
        <f t="shared" si="268"/>
        <v>21</v>
      </c>
      <c r="K181" s="213">
        <f t="shared" si="269"/>
        <v>3</v>
      </c>
      <c r="M181" s="210">
        <f t="shared" si="270"/>
        <v>360</v>
      </c>
      <c r="N181" s="210">
        <f t="shared" si="271"/>
        <v>360</v>
      </c>
      <c r="O181" s="210">
        <f t="shared" si="272"/>
        <v>7200</v>
      </c>
      <c r="P181" s="210">
        <f t="shared" si="273"/>
        <v>1800</v>
      </c>
      <c r="Q181" s="210" t="str">
        <f t="shared" si="274"/>
        <v>disabled</v>
      </c>
      <c r="R181" s="210" t="str">
        <f t="shared" si="275"/>
        <v/>
      </c>
      <c r="S181" s="210" t="str">
        <f t="shared" si="276"/>
        <v>102</v>
      </c>
      <c r="U181" s="482">
        <f t="shared" si="277"/>
        <v>0</v>
      </c>
      <c r="V181" s="482">
        <f t="shared" si="278"/>
        <v>0</v>
      </c>
      <c r="W181" s="482">
        <f t="shared" si="279"/>
        <v>0.28444444444444444</v>
      </c>
      <c r="X181" s="482">
        <f t="shared" si="280"/>
        <v>5.5222222222222221</v>
      </c>
      <c r="Y181" s="482">
        <f t="shared" si="281"/>
        <v>0</v>
      </c>
      <c r="Z181" s="482">
        <f t="shared" si="282"/>
        <v>0</v>
      </c>
      <c r="AA181" s="482">
        <f t="shared" si="283"/>
        <v>2.7650000000000001</v>
      </c>
      <c r="AB181" s="243"/>
      <c r="AC181" s="482">
        <f t="shared" si="284"/>
        <v>5.5222222222222221</v>
      </c>
      <c r="AD181" s="482">
        <f t="shared" si="285"/>
        <v>2.7650000000000001</v>
      </c>
      <c r="AE181" s="482">
        <f t="shared" si="286"/>
        <v>8.2872222222222227</v>
      </c>
      <c r="AF181" s="482">
        <f t="shared" si="287"/>
        <v>0</v>
      </c>
      <c r="AG181" s="482">
        <f t="shared" si="288"/>
        <v>5.5222222222222221</v>
      </c>
      <c r="AH181" s="482">
        <f t="shared" si="289"/>
        <v>2.7650000000000001</v>
      </c>
      <c r="AI181" s="482">
        <f t="shared" si="290"/>
        <v>8.2872222222222227</v>
      </c>
      <c r="AJ181" s="482">
        <f t="shared" si="291"/>
        <v>0</v>
      </c>
      <c r="AK181" s="482">
        <f t="shared" si="292"/>
        <v>5.5222222222222221</v>
      </c>
      <c r="AL181" s="482">
        <f t="shared" si="293"/>
        <v>2.7650000000000001</v>
      </c>
      <c r="AM181" s="482">
        <f t="shared" si="294"/>
        <v>8.2872222222222227</v>
      </c>
      <c r="AN181" s="482">
        <f t="shared" si="295"/>
        <v>0</v>
      </c>
      <c r="AO181" s="482">
        <f t="shared" si="296"/>
        <v>5.5222222222222221</v>
      </c>
      <c r="AP181" s="482">
        <f t="shared" si="297"/>
        <v>2.7650000000000001</v>
      </c>
      <c r="AQ181" s="482">
        <f t="shared" si="298"/>
        <v>8.2872222222222227</v>
      </c>
      <c r="AR181" s="482">
        <f t="shared" si="299"/>
        <v>0.28444444444444444</v>
      </c>
      <c r="AS181" s="482">
        <f t="shared" si="300"/>
        <v>5.8066666666666666</v>
      </c>
      <c r="AT181" s="482">
        <f t="shared" si="301"/>
        <v>3.0494444444444446</v>
      </c>
      <c r="AU181" s="482">
        <f t="shared" si="302"/>
        <v>8.5716666666666672</v>
      </c>
      <c r="AV181" s="482">
        <f t="shared" si="303"/>
        <v>0.28444444444444444</v>
      </c>
      <c r="AW181" s="482">
        <f t="shared" si="304"/>
        <v>5.8066666666666666</v>
      </c>
      <c r="AX181" s="482">
        <f t="shared" si="305"/>
        <v>3.0494444444444446</v>
      </c>
      <c r="AY181" s="482">
        <f t="shared" si="306"/>
        <v>8.5716666666666672</v>
      </c>
      <c r="AZ181" s="482">
        <f t="shared" si="307"/>
        <v>0.28444444444444444</v>
      </c>
      <c r="BA181" s="482">
        <f t="shared" si="308"/>
        <v>5.8066666666666666</v>
      </c>
      <c r="BB181" s="482">
        <f t="shared" si="309"/>
        <v>3.0494444444444446</v>
      </c>
      <c r="BC181" s="482">
        <f t="shared" si="310"/>
        <v>8.5716666666666672</v>
      </c>
      <c r="BD181" s="482">
        <f t="shared" si="311"/>
        <v>0.28444444444444444</v>
      </c>
      <c r="BE181" s="482">
        <f t="shared" si="312"/>
        <v>5.8066666666666666</v>
      </c>
      <c r="BF181" s="482">
        <f t="shared" si="313"/>
        <v>3.0494444444444446</v>
      </c>
      <c r="BG181" s="482">
        <f t="shared" si="314"/>
        <v>8.5716666666666672</v>
      </c>
    </row>
    <row r="182" spans="1:59">
      <c r="A182" s="213" t="s">
        <v>5315</v>
      </c>
      <c r="B182" s="231">
        <v>646884715</v>
      </c>
      <c r="C182" s="210" t="s">
        <v>5285</v>
      </c>
      <c r="D182" s="210">
        <v>103</v>
      </c>
      <c r="F182" s="239" t="str" cm="1">
        <f t="array" aca="1" ref="F182" ca="1">MID(met2utc(PEPSSI_Commanding[[#This Row],[MET]]),3,15)</f>
        <v>26-201/20:20:00</v>
      </c>
      <c r="G182" s="213" t="str">
        <f t="shared" si="265"/>
        <v>MAC+103</v>
      </c>
      <c r="H182" s="214">
        <f t="shared" si="266"/>
        <v>646883515</v>
      </c>
      <c r="I182" s="214">
        <f t="shared" si="267"/>
        <v>678385315</v>
      </c>
      <c r="J182" s="213">
        <f t="shared" si="268"/>
        <v>22</v>
      </c>
      <c r="K182" s="213">
        <f t="shared" si="269"/>
        <v>2</v>
      </c>
      <c r="M182" s="210">
        <f t="shared" si="270"/>
        <v>360</v>
      </c>
      <c r="N182" s="210">
        <f t="shared" si="271"/>
        <v>3</v>
      </c>
      <c r="O182" s="210">
        <f t="shared" si="272"/>
        <v>7200</v>
      </c>
      <c r="P182" s="210">
        <f t="shared" si="273"/>
        <v>1800</v>
      </c>
      <c r="Q182" s="210" t="str">
        <f t="shared" si="274"/>
        <v>disabled</v>
      </c>
      <c r="R182" s="210" t="str">
        <f t="shared" si="275"/>
        <v/>
      </c>
      <c r="S182" s="210" t="str">
        <f t="shared" si="276"/>
        <v>102</v>
      </c>
      <c r="U182" s="482">
        <f t="shared" si="277"/>
        <v>0</v>
      </c>
      <c r="V182" s="482">
        <f t="shared" si="278"/>
        <v>0</v>
      </c>
      <c r="W182" s="482">
        <f t="shared" si="279"/>
        <v>0.28444444444444444</v>
      </c>
      <c r="X182" s="482">
        <f t="shared" si="280"/>
        <v>5.5222222222222221</v>
      </c>
      <c r="Y182" s="482">
        <f t="shared" si="281"/>
        <v>0</v>
      </c>
      <c r="Z182" s="482">
        <f t="shared" si="282"/>
        <v>0</v>
      </c>
      <c r="AA182" s="482">
        <f t="shared" si="283"/>
        <v>2.7650000000000001</v>
      </c>
      <c r="AB182" s="243"/>
      <c r="AC182" s="482">
        <f t="shared" si="284"/>
        <v>5.5222222222222221</v>
      </c>
      <c r="AD182" s="482">
        <f t="shared" si="285"/>
        <v>2.7650000000000001</v>
      </c>
      <c r="AE182" s="482">
        <f t="shared" si="286"/>
        <v>8.2872222222222227</v>
      </c>
      <c r="AF182" s="482">
        <f t="shared" si="287"/>
        <v>0</v>
      </c>
      <c r="AG182" s="482">
        <f t="shared" si="288"/>
        <v>5.5222222222222221</v>
      </c>
      <c r="AH182" s="482">
        <f t="shared" si="289"/>
        <v>2.7650000000000001</v>
      </c>
      <c r="AI182" s="482">
        <f t="shared" si="290"/>
        <v>8.2872222222222227</v>
      </c>
      <c r="AJ182" s="482">
        <f t="shared" si="291"/>
        <v>0</v>
      </c>
      <c r="AK182" s="482">
        <f t="shared" si="292"/>
        <v>5.5222222222222221</v>
      </c>
      <c r="AL182" s="482">
        <f t="shared" si="293"/>
        <v>2.7650000000000001</v>
      </c>
      <c r="AM182" s="482">
        <f t="shared" si="294"/>
        <v>8.2872222222222227</v>
      </c>
      <c r="AN182" s="482">
        <f t="shared" si="295"/>
        <v>0</v>
      </c>
      <c r="AO182" s="482">
        <f t="shared" si="296"/>
        <v>5.5222222222222221</v>
      </c>
      <c r="AP182" s="482">
        <f t="shared" si="297"/>
        <v>2.7650000000000001</v>
      </c>
      <c r="AQ182" s="482">
        <f t="shared" si="298"/>
        <v>8.2872222222222227</v>
      </c>
      <c r="AR182" s="482">
        <f t="shared" si="299"/>
        <v>0.28444444444444444</v>
      </c>
      <c r="AS182" s="482">
        <f t="shared" si="300"/>
        <v>5.8066666666666666</v>
      </c>
      <c r="AT182" s="482">
        <f t="shared" si="301"/>
        <v>3.0494444444444446</v>
      </c>
      <c r="AU182" s="482">
        <f t="shared" si="302"/>
        <v>8.5716666666666672</v>
      </c>
      <c r="AV182" s="482">
        <f t="shared" si="303"/>
        <v>0.28444444444444444</v>
      </c>
      <c r="AW182" s="482">
        <f t="shared" si="304"/>
        <v>5.8066666666666666</v>
      </c>
      <c r="AX182" s="482">
        <f t="shared" si="305"/>
        <v>3.0494444444444446</v>
      </c>
      <c r="AY182" s="482">
        <f t="shared" si="306"/>
        <v>8.5716666666666672</v>
      </c>
      <c r="AZ182" s="482">
        <f t="shared" si="307"/>
        <v>0.28444444444444444</v>
      </c>
      <c r="BA182" s="482">
        <f t="shared" si="308"/>
        <v>5.8066666666666666</v>
      </c>
      <c r="BB182" s="482">
        <f t="shared" si="309"/>
        <v>3.0494444444444446</v>
      </c>
      <c r="BC182" s="482">
        <f t="shared" si="310"/>
        <v>8.5716666666666672</v>
      </c>
      <c r="BD182" s="482">
        <f t="shared" si="311"/>
        <v>0.28444444444444444</v>
      </c>
      <c r="BE182" s="482">
        <f t="shared" si="312"/>
        <v>5.8066666666666666</v>
      </c>
      <c r="BF182" s="482">
        <f t="shared" si="313"/>
        <v>3.0494444444444446</v>
      </c>
      <c r="BG182" s="482">
        <f t="shared" si="314"/>
        <v>8.5716666666666672</v>
      </c>
    </row>
    <row r="183" spans="1:59">
      <c r="A183" s="213" t="s">
        <v>5315</v>
      </c>
      <c r="B183" s="231">
        <v>646885315</v>
      </c>
      <c r="C183" s="210" t="s">
        <v>5285</v>
      </c>
      <c r="D183" s="210">
        <v>109</v>
      </c>
      <c r="F183" s="239" t="str" cm="1">
        <f t="array" aca="1" ref="F183" ca="1">MID(met2utc(PEPSSI_Commanding[[#This Row],[MET]]),3,15)</f>
        <v>26-201/20:30:00</v>
      </c>
      <c r="G183" s="213" t="str">
        <f t="shared" si="265"/>
        <v>MAC+109</v>
      </c>
      <c r="H183" s="214">
        <f t="shared" si="266"/>
        <v>646883515</v>
      </c>
      <c r="I183" s="214">
        <f t="shared" si="267"/>
        <v>678385315</v>
      </c>
      <c r="J183" s="213">
        <f t="shared" si="268"/>
        <v>23</v>
      </c>
      <c r="K183" s="213">
        <f t="shared" si="269"/>
        <v>1</v>
      </c>
      <c r="M183" s="210">
        <f t="shared" si="270"/>
        <v>360</v>
      </c>
      <c r="N183" s="210">
        <f t="shared" si="271"/>
        <v>3</v>
      </c>
      <c r="O183" s="210">
        <f t="shared" si="272"/>
        <v>7200</v>
      </c>
      <c r="P183" s="210">
        <f t="shared" si="273"/>
        <v>1800</v>
      </c>
      <c r="Q183" s="210" t="str">
        <f t="shared" si="274"/>
        <v/>
      </c>
      <c r="R183" s="210">
        <f t="shared" si="275"/>
        <v>1800</v>
      </c>
      <c r="S183" s="210" t="str">
        <f t="shared" si="276"/>
        <v>102</v>
      </c>
      <c r="U183" s="482">
        <f t="shared" si="277"/>
        <v>2.9375</v>
      </c>
      <c r="V183" s="482">
        <f t="shared" si="278"/>
        <v>12.1875</v>
      </c>
      <c r="W183" s="482">
        <f t="shared" si="279"/>
        <v>0.28444444444444444</v>
      </c>
      <c r="X183" s="482">
        <f t="shared" si="280"/>
        <v>5.5222222222222221</v>
      </c>
      <c r="Y183" s="482">
        <f t="shared" si="281"/>
        <v>443.33333333333331</v>
      </c>
      <c r="Z183" s="482">
        <f t="shared" si="282"/>
        <v>18.472222222222221</v>
      </c>
      <c r="AA183" s="482">
        <f t="shared" si="283"/>
        <v>2.7650000000000001</v>
      </c>
      <c r="AB183" s="243"/>
      <c r="AC183" s="482">
        <f t="shared" si="284"/>
        <v>5.5222222222222221</v>
      </c>
      <c r="AD183" s="482">
        <f t="shared" si="285"/>
        <v>14.952500000000001</v>
      </c>
      <c r="AE183" s="482">
        <f t="shared" si="286"/>
        <v>20.474722222222223</v>
      </c>
      <c r="AF183" s="482">
        <f t="shared" si="287"/>
        <v>18.472222222222221</v>
      </c>
      <c r="AG183" s="482">
        <f t="shared" si="288"/>
        <v>23.994444444444444</v>
      </c>
      <c r="AH183" s="482">
        <f t="shared" si="289"/>
        <v>33.424722222222222</v>
      </c>
      <c r="AI183" s="482">
        <f t="shared" si="290"/>
        <v>38.946944444444441</v>
      </c>
      <c r="AJ183" s="482">
        <f t="shared" si="291"/>
        <v>2.9375</v>
      </c>
      <c r="AK183" s="482">
        <f t="shared" si="292"/>
        <v>8.4597222222222221</v>
      </c>
      <c r="AL183" s="482">
        <f t="shared" si="293"/>
        <v>17.89</v>
      </c>
      <c r="AM183" s="482">
        <f t="shared" si="294"/>
        <v>23.412222222222223</v>
      </c>
      <c r="AN183" s="482">
        <f t="shared" si="295"/>
        <v>21.409722222222221</v>
      </c>
      <c r="AO183" s="482">
        <f t="shared" si="296"/>
        <v>26.931944444444444</v>
      </c>
      <c r="AP183" s="482">
        <f t="shared" si="297"/>
        <v>36.362222222222222</v>
      </c>
      <c r="AQ183" s="482">
        <f t="shared" si="298"/>
        <v>41.884444444444441</v>
      </c>
      <c r="AR183" s="482">
        <f t="shared" si="299"/>
        <v>0.28444444444444444</v>
      </c>
      <c r="AS183" s="482">
        <f t="shared" si="300"/>
        <v>5.8066666666666666</v>
      </c>
      <c r="AT183" s="482">
        <f t="shared" si="301"/>
        <v>15.236944444444445</v>
      </c>
      <c r="AU183" s="482">
        <f t="shared" si="302"/>
        <v>20.759166666666665</v>
      </c>
      <c r="AV183" s="482">
        <f t="shared" si="303"/>
        <v>18.756666666666664</v>
      </c>
      <c r="AW183" s="482">
        <f t="shared" si="304"/>
        <v>24.278888888888886</v>
      </c>
      <c r="AX183" s="482">
        <f t="shared" si="305"/>
        <v>33.709166666666661</v>
      </c>
      <c r="AY183" s="482">
        <f t="shared" si="306"/>
        <v>39.231388888888887</v>
      </c>
      <c r="AZ183" s="482">
        <f t="shared" si="307"/>
        <v>3.2219444444444445</v>
      </c>
      <c r="BA183" s="482">
        <f t="shared" si="308"/>
        <v>8.7441666666666666</v>
      </c>
      <c r="BB183" s="482">
        <f t="shared" si="309"/>
        <v>18.174444444444447</v>
      </c>
      <c r="BC183" s="482">
        <f t="shared" si="310"/>
        <v>23.696666666666669</v>
      </c>
      <c r="BD183" s="482">
        <f t="shared" si="311"/>
        <v>21.694166666666668</v>
      </c>
      <c r="BE183" s="482">
        <f t="shared" si="312"/>
        <v>27.21638888888889</v>
      </c>
      <c r="BF183" s="482">
        <f t="shared" si="313"/>
        <v>36.646666666666668</v>
      </c>
      <c r="BG183" s="482">
        <f t="shared" si="314"/>
        <v>42.168888888888887</v>
      </c>
    </row>
  </sheetData>
  <conditionalFormatting sqref="AC1:BG1048576">
    <cfRule type="expression" dxfId="15" priority="4">
      <formula>AC$12&lt;&gt;""</formula>
    </cfRule>
  </conditionalFormatting>
  <conditionalFormatting sqref="AD8:BG8">
    <cfRule type="expression" dxfId="14" priority="5">
      <formula>AD8&lt;&gt;(AC8+1)</formula>
    </cfRule>
  </conditionalFormatting>
  <conditionalFormatting sqref="A14:BG1048576">
    <cfRule type="expression" dxfId="13" priority="6">
      <formula>OR($C14="ON",FALSE)</formula>
    </cfRule>
  </conditionalFormatting>
  <conditionalFormatting sqref="A183:BG1048537 A122:BG122 A166:BG166 A14:BG120">
    <cfRule type="expression" dxfId="12" priority="3">
      <formula>OR($G14="OFF",AND($G15&lt;&gt;"OFF",$K14=1))</formula>
    </cfRule>
  </conditionalFormatting>
  <conditionalFormatting sqref="A14:D1048576">
    <cfRule type="expression" dxfId="11" priority="7">
      <formula>AND($J14&lt;&gt;"",$J14&lt;=9)</formula>
    </cfRule>
  </conditionalFormatting>
  <conditionalFormatting sqref="A121:BG182">
    <cfRule type="expression" dxfId="10" priority="23">
      <formula>OR($G121="OFF",AND($G183&lt;&gt;"OFF",$K121=1))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K24" sqref="K24"/>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17.7109375" style="199"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26">
        <f>C$3+B8/C$4</f>
        <v>42753.215849958426</v>
      </c>
      <c r="D8" s="199" t="s">
        <v>1311</v>
      </c>
      <c r="E8" s="199" t="s">
        <v>1312</v>
      </c>
    </row>
    <row r="9" spans="1:7">
      <c r="A9" s="199">
        <v>347151788</v>
      </c>
      <c r="B9" s="199">
        <v>538117869.43789995</v>
      </c>
      <c r="C9" s="326">
        <f t="shared" ref="C9:C15" si="0">C$3+B9/C$4</f>
        <v>42754.716081457176</v>
      </c>
      <c r="D9" s="199" t="s">
        <v>1313</v>
      </c>
      <c r="E9" s="199" t="s">
        <v>1314</v>
      </c>
    </row>
    <row r="10" spans="1:7">
      <c r="A10" s="199">
        <v>347202166</v>
      </c>
      <c r="B10" s="199">
        <v>538168247.43844998</v>
      </c>
      <c r="C10" s="326">
        <f t="shared" si="0"/>
        <v>42755.299160167247</v>
      </c>
      <c r="D10" s="199" t="s">
        <v>1315</v>
      </c>
      <c r="E10" s="199" t="s">
        <v>1316</v>
      </c>
    </row>
    <row r="11" spans="1:7">
      <c r="A11" s="199">
        <v>347464967</v>
      </c>
      <c r="B11" s="199">
        <v>538431048.44142306</v>
      </c>
      <c r="C11" s="326">
        <f t="shared" si="0"/>
        <v>42758.340838442396</v>
      </c>
      <c r="D11" s="199" t="s">
        <v>1317</v>
      </c>
      <c r="E11" s="199" t="s">
        <v>1318</v>
      </c>
      <c r="F11" s="327" t="s">
        <v>5439</v>
      </c>
    </row>
    <row r="12" spans="1:7">
      <c r="A12" s="199">
        <v>347612597</v>
      </c>
      <c r="B12" s="199">
        <v>538578678.44311404</v>
      </c>
      <c r="C12" s="326">
        <f t="shared" si="0"/>
        <v>42760.049519017521</v>
      </c>
      <c r="D12" s="199" t="s">
        <v>1319</v>
      </c>
      <c r="E12" s="199" t="s">
        <v>1320</v>
      </c>
    </row>
    <row r="13" spans="1:7">
      <c r="A13" s="199">
        <v>347698989</v>
      </c>
      <c r="B13" s="199">
        <v>538665070.44409597</v>
      </c>
      <c r="C13" s="326">
        <f t="shared" si="0"/>
        <v>42761.049426436293</v>
      </c>
      <c r="D13" s="199" t="s">
        <v>1321</v>
      </c>
      <c r="E13" s="199" t="s">
        <v>1322</v>
      </c>
    </row>
    <row r="14" spans="1:7">
      <c r="A14" s="199">
        <v>347828574</v>
      </c>
      <c r="B14" s="199">
        <v>538794655.445521</v>
      </c>
      <c r="C14" s="326">
        <f t="shared" si="0"/>
        <v>42762.54925284168</v>
      </c>
      <c r="D14" s="199" t="s">
        <v>1323</v>
      </c>
      <c r="E14" s="199" t="s">
        <v>1324</v>
      </c>
    </row>
    <row r="15" spans="1:7">
      <c r="A15" s="199">
        <v>348019376</v>
      </c>
      <c r="B15" s="199">
        <v>538985457.44769204</v>
      </c>
      <c r="C15" s="326">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5423</v>
      </c>
      <c r="B1" s="323" t="s">
        <v>5424</v>
      </c>
      <c r="E1" s="6" t="s">
        <v>5427</v>
      </c>
      <c r="F1" s="3" t="s">
        <v>51</v>
      </c>
      <c r="G1" s="3" t="s">
        <v>49</v>
      </c>
    </row>
    <row r="2" spans="1:10">
      <c r="A2" s="5" t="s">
        <v>5425</v>
      </c>
      <c r="B2" s="323" t="s">
        <v>5426</v>
      </c>
      <c r="E2" s="6" t="s">
        <v>5427</v>
      </c>
      <c r="H2" s="3" t="s">
        <v>50</v>
      </c>
      <c r="I2" s="3" t="s">
        <v>53</v>
      </c>
      <c r="J2" s="3" t="s">
        <v>54</v>
      </c>
    </row>
    <row r="10" spans="1:10" s="3" customFormat="1">
      <c r="A10" s="324" t="s">
        <v>5304</v>
      </c>
      <c r="B10" s="2" t="s">
        <v>5420</v>
      </c>
      <c r="C10" s="2" t="s">
        <v>5421</v>
      </c>
      <c r="D10" s="2" t="s">
        <v>5422</v>
      </c>
      <c r="E10" s="2" t="s">
        <v>5430</v>
      </c>
      <c r="F10" s="2" t="s">
        <v>51</v>
      </c>
      <c r="G10" s="2" t="s">
        <v>49</v>
      </c>
      <c r="H10" s="2" t="s">
        <v>50</v>
      </c>
      <c r="I10" s="2" t="s">
        <v>53</v>
      </c>
      <c r="J10" s="2" t="s">
        <v>54</v>
      </c>
    </row>
    <row r="11" spans="1:10">
      <c r="B11" s="5"/>
      <c r="E11" s="6"/>
    </row>
  </sheetData>
  <conditionalFormatting sqref="F10:J1048576">
    <cfRule type="expression" dxfId="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23"/>
  <sheetViews>
    <sheetView topLeftCell="C2" workbookViewId="0">
      <selection activeCell="M20" sqref="M20:AA20"/>
    </sheetView>
  </sheetViews>
  <sheetFormatPr defaultRowHeight="15"/>
  <cols>
    <col min="1" max="1" width="33.140625" customWidth="1"/>
    <col min="2" max="2" width="5.28515625" customWidth="1"/>
    <col min="3" max="4" width="4" bestFit="1" customWidth="1"/>
    <col min="5" max="5" width="5.42578125" bestFit="1" customWidth="1"/>
    <col min="6" max="9" width="4.28515625" bestFit="1" customWidth="1"/>
    <col min="10" max="10" width="5.28515625" bestFit="1" customWidth="1"/>
    <col min="11" max="11" width="5.42578125" bestFit="1" customWidth="1"/>
    <col min="12" max="13" width="12.85546875" customWidth="1"/>
    <col min="14" max="14" width="10" bestFit="1" customWidth="1"/>
    <col min="15" max="15" width="21" customWidth="1"/>
    <col min="17" max="18" width="10.28515625" customWidth="1"/>
    <col min="19" max="19" width="10.7109375" bestFit="1" customWidth="1"/>
    <col min="20" max="20" width="15.42578125" bestFit="1" customWidth="1"/>
    <col min="21" max="21" width="7.140625" bestFit="1" customWidth="1"/>
    <col min="22" max="22" width="14.28515625" bestFit="1" customWidth="1"/>
    <col min="23" max="23" width="10.42578125" bestFit="1" customWidth="1"/>
    <col min="24" max="24" width="10.28515625" bestFit="1" customWidth="1"/>
    <col min="33" max="33" width="16.7109375" customWidth="1"/>
    <col min="34" max="34" width="9.7109375" customWidth="1"/>
    <col min="35" max="35" width="15.5703125" customWidth="1"/>
  </cols>
  <sheetData>
    <row r="1" spans="1:25">
      <c r="B1">
        <v>102</v>
      </c>
      <c r="E1" t="s">
        <v>51</v>
      </c>
      <c r="F1" t="s">
        <v>49</v>
      </c>
      <c r="G1" t="s">
        <v>50</v>
      </c>
      <c r="H1" t="s">
        <v>53</v>
      </c>
      <c r="I1" t="s">
        <v>54</v>
      </c>
      <c r="J1" t="s">
        <v>228</v>
      </c>
      <c r="K1" t="s">
        <v>825</v>
      </c>
      <c r="P1" s="2" t="s">
        <v>122</v>
      </c>
      <c r="Q1" s="504" t="s">
        <v>5</v>
      </c>
      <c r="R1" s="2" t="s">
        <v>6</v>
      </c>
      <c r="S1" s="2" t="s">
        <v>7</v>
      </c>
      <c r="T1" s="505" t="s">
        <v>8</v>
      </c>
      <c r="U1" s="3" t="s">
        <v>19</v>
      </c>
      <c r="V1" s="505" t="s">
        <v>25</v>
      </c>
      <c r="W1" s="2" t="s">
        <v>26</v>
      </c>
      <c r="X1" s="2" t="s">
        <v>9</v>
      </c>
    </row>
    <row r="2" spans="1:25">
      <c r="T2">
        <f>1.579/0.000008</f>
        <v>197375</v>
      </c>
      <c r="V2">
        <f>1.579/0.000008</f>
        <v>197375</v>
      </c>
    </row>
    <row r="3" spans="1:25">
      <c r="T3" s="500">
        <f>MOD(T2,1)</f>
        <v>0</v>
      </c>
      <c r="V3" s="500">
        <f>MOD(V2,1)</f>
        <v>0</v>
      </c>
    </row>
    <row r="7" spans="1:25" ht="15.75" thickBot="1">
      <c r="O7" s="260" t="s">
        <v>5379</v>
      </c>
      <c r="W7" s="259" t="str">
        <f>"cpy src row"</f>
        <v>cpy src row</v>
      </c>
      <c r="X7" s="256" t="s">
        <v>5378</v>
      </c>
    </row>
    <row r="8" spans="1:25">
      <c r="A8" s="252" t="s">
        <v>5374</v>
      </c>
      <c r="B8" s="317"/>
      <c r="C8" s="483"/>
      <c r="D8" s="483"/>
      <c r="E8" s="483" t="s">
        <v>51</v>
      </c>
      <c r="F8" s="483" t="s">
        <v>49</v>
      </c>
      <c r="G8" s="483" t="s">
        <v>50</v>
      </c>
      <c r="H8" s="483" t="s">
        <v>53</v>
      </c>
      <c r="I8" s="483" t="s">
        <v>54</v>
      </c>
      <c r="J8" s="483" t="s">
        <v>228</v>
      </c>
      <c r="K8" s="483" t="s">
        <v>825</v>
      </c>
      <c r="L8" s="483"/>
      <c r="M8" s="253" t="s">
        <v>5375</v>
      </c>
      <c r="N8" s="253" t="s">
        <v>5377</v>
      </c>
      <c r="O8" s="255" t="s">
        <v>5376</v>
      </c>
      <c r="P8" s="254" t="s">
        <v>122</v>
      </c>
      <c r="Q8" s="501" t="s">
        <v>5</v>
      </c>
      <c r="R8" s="254" t="s">
        <v>6</v>
      </c>
      <c r="S8" s="254" t="s">
        <v>7</v>
      </c>
      <c r="T8" s="502" t="s">
        <v>8</v>
      </c>
      <c r="U8" s="254" t="s">
        <v>19</v>
      </c>
      <c r="V8" s="502" t="s">
        <v>25</v>
      </c>
      <c r="W8" s="254" t="s">
        <v>26</v>
      </c>
      <c r="X8" s="503" t="s">
        <v>9</v>
      </c>
    </row>
    <row r="9" spans="1:25">
      <c r="A9" s="318"/>
      <c r="B9" s="318"/>
      <c r="C9" s="484" t="str">
        <f>TRIM('2025_pb_2'!C459)</f>
        <v>104</v>
      </c>
      <c r="D9" s="484" t="str">
        <f>TRIM('2025_pb_2'!D459)</f>
        <v>105</v>
      </c>
      <c r="E9" s="484" t="str">
        <f>TRIM('2025_pb_2'!E459)</f>
        <v/>
      </c>
      <c r="F9" s="484" t="str">
        <f>TRIM('2025_pb_2'!F459)</f>
        <v/>
      </c>
      <c r="G9" s="484" t="str">
        <f>TRIM('2025_pb_2'!G459)</f>
        <v/>
      </c>
      <c r="H9" s="484" t="str">
        <f>TRIM('2025_pb_2'!H459)</f>
        <v/>
      </c>
      <c r="I9" s="484" t="str">
        <f>TRIM('2025_pb_2'!I459)</f>
        <v>DT4</v>
      </c>
      <c r="J9" s="484" t="str">
        <f>TRIM('2025_pb_2'!J459)</f>
        <v/>
      </c>
      <c r="K9" s="484" t="str">
        <f>TRIM('2025_pb_2'!K459)</f>
        <v/>
      </c>
      <c r="M9" s="6" t="s">
        <v>5751</v>
      </c>
      <c r="N9" s="485" cm="1">
        <f t="array" ref="N9">peprate(E9:K9,Q9)</f>
        <v>0.55078125</v>
      </c>
      <c r="O9" s="486">
        <f>R9-'2025_pb_2'!R459</f>
        <v>0</v>
      </c>
      <c r="P9" s="259" t="str">
        <f>TRIM('2025_pb_2'!P459)</f>
        <v>250_3</v>
      </c>
      <c r="Q9" s="263">
        <f>'2025_pb_2'!Q459</f>
        <v>633159121.39680195</v>
      </c>
      <c r="R9" s="261" cm="1">
        <f t="array" ref="R9">W9/peprate(E9:K9,Q9)+Q9</f>
        <v>636932585.36275935</v>
      </c>
      <c r="S9" s="319">
        <f t="shared" ref="S9:S14" si="0">R9-Q9</f>
        <v>3773463.9659574032</v>
      </c>
      <c r="T9" s="319" cm="1">
        <f t="array" ref="T9">S9*peprate(E9:K9,Q9)</f>
        <v>2078353.199999976</v>
      </c>
      <c r="U9" s="257">
        <f>'2025_pb_2'!U459</f>
        <v>0</v>
      </c>
      <c r="V9" s="319">
        <f>T9+U9*'2025_pb_2'!$V$33</f>
        <v>2078353.199999976</v>
      </c>
      <c r="W9" s="257">
        <f>'2025_pb_2'!W459</f>
        <v>2078353.2</v>
      </c>
      <c r="X9" s="487">
        <f t="shared" ref="X9:X14" si="1">W9-V9</f>
        <v>2.3981556296348572E-8</v>
      </c>
    </row>
    <row r="10" spans="1:25">
      <c r="A10" s="318"/>
      <c r="B10" s="318"/>
      <c r="C10" s="484" t="str">
        <f>TRIM('2025_pb_2'!C460)</f>
        <v>104</v>
      </c>
      <c r="D10" s="484" t="str">
        <f>TRIM('2025_pb_2'!D460)</f>
        <v>105</v>
      </c>
      <c r="E10" s="484" t="str">
        <f>TRIM('2025_pb_2'!E460)</f>
        <v/>
      </c>
      <c r="F10" s="484" t="str">
        <f>TRIM('2025_pb_2'!F460)</f>
        <v/>
      </c>
      <c r="G10" s="484" t="str">
        <f>TRIM('2025_pb_2'!G460)</f>
        <v/>
      </c>
      <c r="H10" s="484" t="str">
        <f>TRIM('2025_pb_2'!H460)</f>
        <v/>
      </c>
      <c r="I10" s="484" t="str">
        <f>TRIM('2025_pb_2'!I460)</f>
        <v>DT4</v>
      </c>
      <c r="J10" s="484" t="str">
        <f>TRIM('2025_pb_2'!J460)</f>
        <v/>
      </c>
      <c r="K10" s="484" t="str">
        <f>TRIM('2025_pb_2'!K443)</f>
        <v/>
      </c>
      <c r="M10" s="6" t="s">
        <v>5723</v>
      </c>
      <c r="N10" s="485" cm="1">
        <f t="array" ref="N10">peprate(E10:K10,Q10)</f>
        <v>0.55078125</v>
      </c>
      <c r="O10" s="486">
        <f>R10-'2025_pb_2'!R460</f>
        <v>0</v>
      </c>
      <c r="P10" s="259" t="str">
        <f>TRIM('2025_pb_2'!P460)</f>
        <v>251_1</v>
      </c>
      <c r="Q10" s="263">
        <f>'2025_pb_2'!Q460</f>
        <v>636932584.36275935</v>
      </c>
      <c r="R10" s="261" cm="1">
        <f t="array" ref="R10">W10/peprate(E10:K10,Q10)+Q10</f>
        <v>640424208.66914237</v>
      </c>
      <c r="S10" s="319">
        <f t="shared" si="0"/>
        <v>3491624.3063830137</v>
      </c>
      <c r="T10" s="319" cm="1">
        <f t="array" ref="T10">S10*peprate(E10:K10,Q10)</f>
        <v>1923121.2000000193</v>
      </c>
      <c r="U10" s="257">
        <f>'2025_pb_2'!U460</f>
        <v>0</v>
      </c>
      <c r="V10" s="319">
        <f>T10+U10*'2025_pb_2'!$V$33</f>
        <v>1923121.2000000193</v>
      </c>
      <c r="W10" s="488">
        <f>'2025_pb_2'!W460</f>
        <v>1923121.2000000002</v>
      </c>
      <c r="X10" s="487">
        <f t="shared" si="1"/>
        <v>-1.909211277961731E-8</v>
      </c>
    </row>
    <row r="11" spans="1:25">
      <c r="A11" s="318"/>
      <c r="B11" s="318"/>
      <c r="C11" s="484" t="str">
        <f>TRIM('2025_pb_2'!C461)</f>
        <v>104</v>
      </c>
      <c r="D11" s="484" t="str">
        <f>TRIM('2025_pb_2'!D461)</f>
        <v>105</v>
      </c>
      <c r="E11" s="484" t="str">
        <f>TRIM('2025_pb_2'!E461)</f>
        <v/>
      </c>
      <c r="F11" s="484" t="str">
        <f>TRIM('2025_pb_2'!F461)</f>
        <v/>
      </c>
      <c r="G11" s="484" t="str">
        <f>TRIM('2025_pb_2'!G461)</f>
        <v/>
      </c>
      <c r="H11" s="484" t="str">
        <f>TRIM('2025_pb_2'!H461)</f>
        <v/>
      </c>
      <c r="I11" s="484" t="str">
        <f>TRIM('2025_pb_2'!I461)</f>
        <v>DT4</v>
      </c>
      <c r="J11" s="484" t="str">
        <f>TRIM('2025_pb_2'!J461)</f>
        <v/>
      </c>
      <c r="K11" s="484" t="str">
        <f>TRIM('2025_pb_2'!K444)</f>
        <v/>
      </c>
      <c r="M11" s="6" t="s">
        <v>5724</v>
      </c>
      <c r="N11" s="485" cm="1">
        <f t="array" ref="N11">peprate(E11:K11,Q11)</f>
        <v>0.55078125</v>
      </c>
      <c r="O11" s="486">
        <f>R11-'2025_pb_2'!R461</f>
        <v>0</v>
      </c>
      <c r="P11" s="259" t="str">
        <f>TRIM('2025_pb_2'!P461)</f>
        <v>252_1</v>
      </c>
      <c r="Q11" s="263">
        <f>'2025_pb_2'!Q461</f>
        <v>640424207.66914237</v>
      </c>
      <c r="R11" s="261" cm="1">
        <f t="array" ref="R11">W11/peprate(E11:K11,Q11)+Q11</f>
        <v>642104455.49892962</v>
      </c>
      <c r="S11" s="319">
        <f t="shared" si="0"/>
        <v>1680247.8297872543</v>
      </c>
      <c r="T11" s="319" cm="1">
        <f t="array" ref="T11">S11*peprate(E11:K11,Q11)</f>
        <v>925449.00000001118</v>
      </c>
      <c r="U11" s="257">
        <f>'2025_pb_2'!U461</f>
        <v>0</v>
      </c>
      <c r="V11" s="319">
        <f>T11+U11*'2025_pb_2'!$V$33</f>
        <v>925449.00000001118</v>
      </c>
      <c r="W11" s="488">
        <f>'2025_pb_2'!W461</f>
        <v>925449.00000000012</v>
      </c>
      <c r="X11" s="487">
        <f t="shared" si="1"/>
        <v>-1.1059455573558807E-8</v>
      </c>
    </row>
    <row r="12" spans="1:25">
      <c r="A12" s="318"/>
      <c r="B12" s="318"/>
      <c r="C12" s="484" t="str">
        <f>TRIM('2025_pb_2'!C462)</f>
        <v>104</v>
      </c>
      <c r="D12" s="484" t="str">
        <f>TRIM('2025_pb_2'!D462)</f>
        <v>105</v>
      </c>
      <c r="E12" s="484" t="str">
        <f>TRIM('2025_pb_2'!E462)</f>
        <v/>
      </c>
      <c r="F12" s="484" t="str">
        <f>TRIM('2025_pb_2'!F462)</f>
        <v/>
      </c>
      <c r="G12" s="484" t="str">
        <f>TRIM('2025_pb_2'!G462)</f>
        <v/>
      </c>
      <c r="H12" s="484" t="str">
        <f>TRIM('2025_pb_2'!H462)</f>
        <v/>
      </c>
      <c r="I12" s="484" t="str">
        <f>TRIM('2025_pb_2'!I462)</f>
        <v>DT4</v>
      </c>
      <c r="J12" s="484" t="str">
        <f>TRIM('2025_pb_2'!J462)</f>
        <v/>
      </c>
      <c r="K12" s="484" t="str">
        <f>TRIM('2025_pb_2'!K445)</f>
        <v/>
      </c>
      <c r="M12" s="6" t="s">
        <v>5725</v>
      </c>
      <c r="N12" s="485" cm="1">
        <f t="array" ref="N12">peprate(E12:K12,Q12)</f>
        <v>0.55078125</v>
      </c>
      <c r="O12" s="486">
        <f>R12-'2025_pb_2'!R462</f>
        <v>0</v>
      </c>
      <c r="P12" s="259" t="str">
        <f>TRIM('2025_pb_2'!P462)</f>
        <v>253_1</v>
      </c>
      <c r="Q12" s="263">
        <f>'2025_pb_2'!Q462</f>
        <v>642104454.49892962</v>
      </c>
      <c r="R12" s="261" cm="1">
        <f t="array" ref="R12">W12/peprate(E12:K12,Q12)+Q12</f>
        <v>644044582.36275935</v>
      </c>
      <c r="S12" s="319">
        <f t="shared" si="0"/>
        <v>1940127.8638297319</v>
      </c>
      <c r="T12" s="319" cm="1">
        <f t="array" ref="T12">S12*peprate(E12:K12,Q12)</f>
        <v>1068586.0499999695</v>
      </c>
      <c r="U12" s="257">
        <f>'2025_pb_2'!U462</f>
        <v>0</v>
      </c>
      <c r="V12" s="319">
        <f>T12+U12*'2025_pb_2'!$V$33</f>
        <v>1068586.0499999695</v>
      </c>
      <c r="W12" s="488">
        <f>'2025_pb_2'!W462</f>
        <v>1068586.05</v>
      </c>
      <c r="X12" s="487">
        <f t="shared" si="1"/>
        <v>3.0500814318656921E-8</v>
      </c>
      <c r="Y12" s="3"/>
    </row>
    <row r="13" spans="1:25">
      <c r="A13" s="318"/>
      <c r="B13" s="318"/>
      <c r="C13" s="484" t="str">
        <f>TRIM('2025_pb_2'!C463)</f>
        <v>104</v>
      </c>
      <c r="D13" s="484" t="str">
        <f>TRIM('2025_pb_2'!D463)</f>
        <v>105</v>
      </c>
      <c r="E13" s="484" t="str">
        <f>TRIM('2025_pb_2'!E463)</f>
        <v/>
      </c>
      <c r="F13" s="484" t="str">
        <f>TRIM('2025_pb_2'!F463)</f>
        <v/>
      </c>
      <c r="G13" s="484" t="str">
        <f>TRIM('2025_pb_2'!G463)</f>
        <v/>
      </c>
      <c r="H13" s="484" t="str">
        <f>TRIM('2025_pb_2'!H463)</f>
        <v/>
      </c>
      <c r="I13" s="484" t="str">
        <f>TRIM('2025_pb_2'!I463)</f>
        <v>DT4</v>
      </c>
      <c r="J13" s="484" t="str">
        <f>TRIM('2025_pb_2'!J463)</f>
        <v/>
      </c>
      <c r="K13" s="484" t="str">
        <f>TRIM('2025_pb_2'!K446)</f>
        <v/>
      </c>
      <c r="M13" s="6" t="s">
        <v>5726</v>
      </c>
      <c r="N13" s="485" cm="1">
        <f t="array" ref="N13">peprate(E13:K13,Q13)</f>
        <v>0.55078125</v>
      </c>
      <c r="O13" s="486">
        <f>T13-'2025_pb_2'!T463</f>
        <v>0</v>
      </c>
      <c r="P13" s="259" t="str">
        <f>TRIM('2025_pb_2'!P463)</f>
        <v>253_2</v>
      </c>
      <c r="Q13" s="263">
        <f>'2025_pb_2'!Q463</f>
        <v>644044581.36275935</v>
      </c>
      <c r="R13" s="263">
        <f>'2025_pb_2'!R463</f>
        <v>644187672.24185646</v>
      </c>
      <c r="S13" s="319">
        <f t="shared" si="0"/>
        <v>143090.87909710407</v>
      </c>
      <c r="T13" s="319" cm="1">
        <f t="array" ref="T13">S13*peprate(E13:K13,Q13)</f>
        <v>78811.773252701852</v>
      </c>
      <c r="U13" s="257">
        <f>'2025_pb_2'!U463</f>
        <v>0</v>
      </c>
      <c r="V13" s="319">
        <f>T13+U13*'2025_pb_2'!$V$33</f>
        <v>78811.773252701852</v>
      </c>
      <c r="W13" s="488">
        <f>'2025_pb_2'!W463</f>
        <v>528262.35</v>
      </c>
      <c r="X13" s="487">
        <f t="shared" si="1"/>
        <v>449450.57674729812</v>
      </c>
      <c r="Y13" s="3"/>
    </row>
    <row r="14" spans="1:25" ht="15.75" thickBot="1">
      <c r="A14" s="321"/>
      <c r="B14" s="321"/>
      <c r="C14" s="489" t="str">
        <f>TRIM('2025_pb_2'!C464)</f>
        <v>104</v>
      </c>
      <c r="D14" s="489" t="str">
        <f>TRIM('2025_pb_2'!D464)</f>
        <v>105</v>
      </c>
      <c r="E14" s="489" t="str">
        <f>TRIM('2025_pb_2'!E464)</f>
        <v/>
      </c>
      <c r="F14" s="489" t="str">
        <f>TRIM('2025_pb_2'!F464)</f>
        <v/>
      </c>
      <c r="G14" s="489" t="str">
        <f>TRIM('2025_pb_2'!G464)</f>
        <v>DT2</v>
      </c>
      <c r="H14" s="489" t="str">
        <f>TRIM('2025_pb_2'!H464)</f>
        <v/>
      </c>
      <c r="I14" s="489" t="str">
        <f>TRIM('2025_pb_2'!I464)</f>
        <v/>
      </c>
      <c r="J14" s="489" t="str">
        <f>TRIM('2025_pb_2'!J464)</f>
        <v/>
      </c>
      <c r="K14" s="489" t="str">
        <f>TRIM('2025_pb_2'!K447)</f>
        <v/>
      </c>
      <c r="L14" s="322"/>
      <c r="M14" s="445" t="s">
        <v>5727</v>
      </c>
      <c r="N14" s="490" cm="1">
        <f t="array" ref="N14">peprate(E14:K14,Q14)</f>
        <v>5.0501562500000006</v>
      </c>
      <c r="O14" s="491">
        <f>R14-'2025_pb_2'!R464</f>
        <v>0</v>
      </c>
      <c r="P14" s="444" t="str">
        <f>TRIM('2025_pb_2'!P464)</f>
        <v/>
      </c>
      <c r="Q14" s="443">
        <f>'2025_pb_2'!Q464</f>
        <v>622845950.93747675</v>
      </c>
      <c r="R14" s="262" cm="1">
        <f t="array" ref="R14">W14/peprate(E14:K14,Q14)+Q14</f>
        <v>623088976.83395278</v>
      </c>
      <c r="S14" s="492">
        <f t="shared" si="0"/>
        <v>243025.89647603035</v>
      </c>
      <c r="T14" s="492" cm="1">
        <f t="array" ref="T14">S14*peprate(E14:K14,Q14)</f>
        <v>1227318.7500002778</v>
      </c>
      <c r="U14" s="258">
        <f>'2025_pb_2'!U464</f>
        <v>0</v>
      </c>
      <c r="V14" s="492">
        <f>T14+U14*'2025_pb_2'!$V$33</f>
        <v>1227318.7500002778</v>
      </c>
      <c r="W14" s="493">
        <f>'2025_pb_2'!W464</f>
        <v>1227318.7500000002</v>
      </c>
      <c r="X14" s="494">
        <f t="shared" si="1"/>
        <v>-2.775341272354126E-7</v>
      </c>
      <c r="Y14" s="3"/>
    </row>
    <row r="17" spans="3:40" ht="13.5" customHeight="1">
      <c r="J17" t="s">
        <v>228</v>
      </c>
      <c r="K17" t="s">
        <v>825</v>
      </c>
      <c r="L17" s="29" t="str" cm="1">
        <f t="array" aca="1" ref="L17" ca="1">IF(ISNUMBER(Q17),IF(Q17&gt;400000000,MID(met2utc(Q17),3,12),""),"")</f>
        <v>21-327/19:01</v>
      </c>
      <c r="M17" s="29" t="str" cm="1">
        <f t="array" aca="1" ref="M17" ca="1">IF(ISNUMBER(R17),IF(R17&gt;400000000,MID(met2utc(R17),3,12),""),"")</f>
        <v>26-170/15:09</v>
      </c>
      <c r="O17" s="495" t="str" cm="1">
        <f t="array" ref="O17">MID(deltautc($AI17),6,9)</f>
        <v>238/12:21</v>
      </c>
      <c r="P17" s="497" t="str">
        <f>MID(AH17,5,5)</f>
        <v>238_1</v>
      </c>
      <c r="Q17" s="20">
        <v>500000000</v>
      </c>
      <c r="R17" s="20">
        <v>644187671.24185646</v>
      </c>
      <c r="S17" s="20">
        <f t="shared" ref="S17:S18" si="2">R17-Q17</f>
        <v>144187671.24185646</v>
      </c>
      <c r="T17" s="20" cm="1">
        <f t="array" aca="1" ref="T17" ca="1">IF(AF17="PEP",S17*peprate(E17:K17,$Q17/2),0)</f>
        <v>0</v>
      </c>
      <c r="U17" s="3">
        <v>0</v>
      </c>
      <c r="V17" s="20">
        <f ca="1">T17+IF($AF17="PEP",U17*$T$2,0)</f>
        <v>0</v>
      </c>
      <c r="W17" s="20">
        <f>AA17*1000000/8</f>
        <v>514301.55</v>
      </c>
      <c r="X17" s="498">
        <f t="shared" ref="X17:X18" ca="1" si="3">W17-V17</f>
        <v>514301.55</v>
      </c>
      <c r="Y17" s="343"/>
      <c r="Z17" s="342"/>
      <c r="AA17" s="78">
        <f t="shared" ref="AA17:AA18" si="4">AN17</f>
        <v>4.1144124</v>
      </c>
      <c r="AB17" s="100"/>
      <c r="AC17" s="507"/>
      <c r="AD17" s="3"/>
      <c r="AE17" s="3"/>
      <c r="AF17" s="341" t="str">
        <f ca="1">IF($L17&lt;&gt;"",IF($M17&lt;&gt;"",IF(_xlfn.XOR(_xlfn.TEXTJOIN("",TRUE,$E17:$I17)&lt;&gt;"",_xlfn.TEXTJOIN("",TRUE,$J17:$K17)&lt;&gt;""),IF(_xlfn.TEXTJOIN("",TRUE,$J17:$K17)="","PEP","SWA"),""),""),"")</f>
        <v>SWA</v>
      </c>
      <c r="AH17" t="s">
        <v>5585</v>
      </c>
      <c r="AI17" t="s">
        <v>5584</v>
      </c>
      <c r="AJ17">
        <v>0.21891099999999999</v>
      </c>
      <c r="AK17">
        <v>0.70872199999999996</v>
      </c>
      <c r="AL17">
        <v>0.489811</v>
      </c>
      <c r="AM17">
        <v>4.3103360000000004</v>
      </c>
      <c r="AN17" s="340">
        <f t="shared" ref="AN17:AN18" si="5">AL17*8*1.05</f>
        <v>4.1144124</v>
      </c>
    </row>
    <row r="18" spans="3:40" ht="13.5" customHeight="1">
      <c r="C18" s="3">
        <v>104</v>
      </c>
      <c r="D18" s="3">
        <v>105</v>
      </c>
      <c r="E18" t="s">
        <v>51</v>
      </c>
      <c r="F18" t="s">
        <v>49</v>
      </c>
      <c r="G18" s="3" t="s">
        <v>50</v>
      </c>
      <c r="H18" t="s">
        <v>53</v>
      </c>
      <c r="I18" t="s">
        <v>54</v>
      </c>
      <c r="L18" s="29" t="str" cm="1">
        <f t="array" aca="1" ref="L18" ca="1">IF(ISNUMBER(Q18),IF(Q18&gt;400000000,MID(met2utc(Q18),3,12),""),"")</f>
        <v>26-170/15:09</v>
      </c>
      <c r="M18" s="29" t="str" cm="1">
        <f t="array" aca="1" ref="M18" ca="1">IF(ISNUMBER(R18),IF(R18&gt;400000000,MID(met2utc(R18),3,12),""),"")</f>
        <v>21-327/19:01</v>
      </c>
      <c r="O18" s="495" t="str" cm="1">
        <f t="array" ref="O18">MID(deltautc($AI18),6,9)</f>
        <v>239/21:26</v>
      </c>
      <c r="P18" s="497" t="str">
        <f t="shared" ref="P18" si="6">MID(AH18,5,5)</f>
        <v>239_1</v>
      </c>
      <c r="Q18" s="506">
        <v>644187671.24185646</v>
      </c>
      <c r="R18" s="499">
        <v>500000000</v>
      </c>
      <c r="S18" s="20">
        <f t="shared" si="2"/>
        <v>-144187671.24185646</v>
      </c>
      <c r="T18" s="20" cm="1">
        <f t="array" aca="1" ref="T18" ca="1">IF(AF18="PEP",S18*peprate(E18:K18,$Q18),0)</f>
        <v>-995475687.46686721</v>
      </c>
      <c r="U18" s="3">
        <v>0</v>
      </c>
      <c r="V18" s="20">
        <f ca="1">T18+IF($AF18="PEP",U18*$T$2,0)</f>
        <v>-995475687.46686721</v>
      </c>
      <c r="W18" s="20">
        <f t="shared" ref="W18" si="7">AA18*1000000/8</f>
        <v>1865522.4000000001</v>
      </c>
      <c r="X18" s="498">
        <f t="shared" ca="1" si="3"/>
        <v>997341209.86686718</v>
      </c>
      <c r="Y18" s="343"/>
      <c r="Z18" s="342"/>
      <c r="AA18" s="78">
        <f t="shared" si="4"/>
        <v>14.924179200000001</v>
      </c>
      <c r="AC18" s="507"/>
      <c r="AD18" s="3"/>
      <c r="AE18" s="3"/>
      <c r="AF18" s="341" t="str">
        <f ca="1">IF($L18&lt;&gt;"",IF($M18&lt;&gt;"",IF(_xlfn.XOR(_xlfn.TEXTJOIN("",TRUE,$E18:$I18)&lt;&gt;"",_xlfn.TEXTJOIN("",TRUE,$J18:$K18)&lt;&gt;""),IF(_xlfn.TEXTJOIN("",TRUE,$J18:$K18)="","PEP","SWA"),""),""),"")</f>
        <v>PEP</v>
      </c>
      <c r="AH18" t="s">
        <v>5581</v>
      </c>
      <c r="AI18" t="s">
        <v>5580</v>
      </c>
      <c r="AJ18">
        <v>0.52125299999999997</v>
      </c>
      <c r="AK18">
        <v>2.2979409999999998</v>
      </c>
      <c r="AL18">
        <v>1.776688</v>
      </c>
      <c r="AM18">
        <v>15.634855</v>
      </c>
      <c r="AN18" s="340">
        <f t="shared" si="5"/>
        <v>14.924179200000001</v>
      </c>
    </row>
    <row r="19" spans="3:40">
      <c r="W19" s="5">
        <f ca="1">X18</f>
        <v>997341209.86686718</v>
      </c>
    </row>
    <row r="22" spans="3:40">
      <c r="L22" s="496" t="s">
        <v>5753</v>
      </c>
      <c r="Q22" s="282" t="s">
        <v>5752</v>
      </c>
    </row>
    <row r="23" spans="3:40">
      <c r="L23" s="375" t="s">
        <v>5754</v>
      </c>
    </row>
  </sheetData>
  <conditionalFormatting sqref="C2:K1048576">
    <cfRule type="expression" dxfId="8" priority="10">
      <formula>AND(_xlfn.TEXTJOIN("",FALSE,$E2:$I2) &lt;&gt;"",_xlfn.TEXTJOIN("",FALSE,$J2:$K2) &lt;&gt; "")</formula>
    </cfRule>
  </conditionalFormatting>
  <conditionalFormatting sqref="E2:K1048576">
    <cfRule type="expression" dxfId="7" priority="9">
      <formula>NOT(OR(EXACT(E2,""),EXACT(E2,E$1)))</formula>
    </cfRule>
  </conditionalFormatting>
  <conditionalFormatting sqref="C1:K1048576">
    <cfRule type="expression" dxfId="6" priority="7" stopIfTrue="1">
      <formula>_xlfn.TEXTJOIN("",FALSE,$E1:$K1)="HSK3DT1DT2DT3DT4SDT1HSK4"</formula>
    </cfRule>
  </conditionalFormatting>
  <conditionalFormatting sqref="X1:X1048576 P1:T1048576">
    <cfRule type="expression" dxfId="5" priority="21">
      <formula>OR(EXACT($AF1,"SWA"),EXACT($AF1,"PEP"))</formula>
    </cfRule>
  </conditionalFormatting>
  <conditionalFormatting sqref="P1:X1048576">
    <cfRule type="expression" dxfId="4" priority="8" stopIfTrue="1">
      <formula>EXACT(P$1,P1)</formula>
    </cfRule>
  </conditionalFormatting>
  <conditionalFormatting sqref="L1:M1048576">
    <cfRule type="expression" dxfId="3" priority="5" stopIfTrue="1">
      <formula>EXACT($AF1,"PEP")</formula>
    </cfRule>
    <cfRule type="expression" dxfId="2" priority="6" stopIfTrue="1">
      <formula>EXACT($AF1,"SWA")</formula>
    </cfRule>
  </conditionalFormatting>
  <conditionalFormatting sqref="X1:X1048576">
    <cfRule type="expression" dxfId="1" priority="1">
      <formula>IF(ISNUMBER(X1),IF(X1&gt;0.1,TRUE))</formula>
    </cfRule>
  </conditionalFormatting>
  <conditionalFormatting sqref="W2:W1048576">
    <cfRule type="expression" dxfId="0" priority="2">
      <formula>IF(ISNUMBER(W2),IF(ISNUMBER(X1),IF(X1&gt;0.5,IF(X1=W2,TRUE))))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305" r:id="rId3" name="Button 1">
              <controlPr defaultSize="0" print="0" autoFill="0" autoPict="0" macro="[0]!add_dldv">
                <anchor moveWithCells="1" sizeWithCells="1">
                  <from>
                    <xdr:col>0</xdr:col>
                    <xdr:colOff>76200</xdr:colOff>
                    <xdr:row>0</xdr:row>
                    <xdr:rowOff>9525</xdr:rowOff>
                  </from>
                  <to>
                    <xdr:col>0</xdr:col>
                    <xdr:colOff>2133600</xdr:colOff>
                    <xdr:row>2</xdr:row>
                    <xdr:rowOff>0</xdr:rowOff>
                  </to>
                </anchor>
              </controlPr>
            </control>
          </mc:Choice>
        </mc:AlternateContent>
        <mc:AlternateContent xmlns:mc="http://schemas.openxmlformats.org/markup-compatibility/2006">
          <mc:Choice Requires="x14">
            <control shapeId="98329" r:id="rId4" name="Button 25">
              <controlPr defaultSize="0" print="0" autoFill="0" autoPict="0" macro="[0]!Peprate_Test_Row387">
                <anchor moveWithCells="1">
                  <from>
                    <xdr:col>0</xdr:col>
                    <xdr:colOff>123825</xdr:colOff>
                    <xdr:row>8</xdr:row>
                    <xdr:rowOff>9525</xdr:rowOff>
                  </from>
                  <to>
                    <xdr:col>0</xdr:col>
                    <xdr:colOff>2085975</xdr:colOff>
                    <xdr:row>8</xdr:row>
                    <xdr:rowOff>161925</xdr:rowOff>
                  </to>
                </anchor>
              </controlPr>
            </control>
          </mc:Choice>
        </mc:AlternateContent>
        <mc:AlternateContent xmlns:mc="http://schemas.openxmlformats.org/markup-compatibility/2006">
          <mc:Choice Requires="x14">
            <control shapeId="98330" r:id="rId5" name="Button 26">
              <controlPr defaultSize="0" print="0" autoFill="0" autoPict="0" macro="[0]!Peprate_Test_Row388">
                <anchor moveWithCells="1">
                  <from>
                    <xdr:col>0</xdr:col>
                    <xdr:colOff>123825</xdr:colOff>
                    <xdr:row>9</xdr:row>
                    <xdr:rowOff>9525</xdr:rowOff>
                  </from>
                  <to>
                    <xdr:col>0</xdr:col>
                    <xdr:colOff>2085975</xdr:colOff>
                    <xdr:row>9</xdr:row>
                    <xdr:rowOff>161925</xdr:rowOff>
                  </to>
                </anchor>
              </controlPr>
            </control>
          </mc:Choice>
        </mc:AlternateContent>
        <mc:AlternateContent xmlns:mc="http://schemas.openxmlformats.org/markup-compatibility/2006">
          <mc:Choice Requires="x14">
            <control shapeId="98331" r:id="rId6" name="Button 27">
              <controlPr defaultSize="0" print="0" autoFill="0" autoPict="0" macro="[0]!Peprate_Test_Row389">
                <anchor moveWithCells="1">
                  <from>
                    <xdr:col>0</xdr:col>
                    <xdr:colOff>123825</xdr:colOff>
                    <xdr:row>10</xdr:row>
                    <xdr:rowOff>9525</xdr:rowOff>
                  </from>
                  <to>
                    <xdr:col>0</xdr:col>
                    <xdr:colOff>2085975</xdr:colOff>
                    <xdr:row>10</xdr:row>
                    <xdr:rowOff>161925</xdr:rowOff>
                  </to>
                </anchor>
              </controlPr>
            </control>
          </mc:Choice>
        </mc:AlternateContent>
        <mc:AlternateContent xmlns:mc="http://schemas.openxmlformats.org/markup-compatibility/2006">
          <mc:Choice Requires="x14">
            <control shapeId="98332" r:id="rId7" name="Button 28">
              <controlPr defaultSize="0" print="0" autoFill="0" autoPict="0" macro="[0]!Peprate_Test_Row390">
                <anchor moveWithCells="1">
                  <from>
                    <xdr:col>0</xdr:col>
                    <xdr:colOff>133350</xdr:colOff>
                    <xdr:row>11</xdr:row>
                    <xdr:rowOff>9525</xdr:rowOff>
                  </from>
                  <to>
                    <xdr:col>0</xdr:col>
                    <xdr:colOff>2095500</xdr:colOff>
                    <xdr:row>11</xdr:row>
                    <xdr:rowOff>161925</xdr:rowOff>
                  </to>
                </anchor>
              </controlPr>
            </control>
          </mc:Choice>
        </mc:AlternateContent>
        <mc:AlternateContent xmlns:mc="http://schemas.openxmlformats.org/markup-compatibility/2006">
          <mc:Choice Requires="x14">
            <control shapeId="98333" r:id="rId8" name="Button 29">
              <controlPr defaultSize="0" print="0" autoFill="0" autoPict="0" macro="[0]!Peprate_Test_Row391">
                <anchor moveWithCells="1">
                  <from>
                    <xdr:col>0</xdr:col>
                    <xdr:colOff>123825</xdr:colOff>
                    <xdr:row>12</xdr:row>
                    <xdr:rowOff>9525</xdr:rowOff>
                  </from>
                  <to>
                    <xdr:col>0</xdr:col>
                    <xdr:colOff>2085975</xdr:colOff>
                    <xdr:row>12</xdr:row>
                    <xdr:rowOff>161925</xdr:rowOff>
                  </to>
                </anchor>
              </controlPr>
            </control>
          </mc:Choice>
        </mc:AlternateContent>
        <mc:AlternateContent xmlns:mc="http://schemas.openxmlformats.org/markup-compatibility/2006">
          <mc:Choice Requires="x14">
            <control shapeId="98334" r:id="rId9" name="Button 30">
              <controlPr defaultSize="0" print="0" autoFill="0" autoPict="0" macro="[0]!Peprate_Test_Row392">
                <anchor moveWithCells="1">
                  <from>
                    <xdr:col>0</xdr:col>
                    <xdr:colOff>123825</xdr:colOff>
                    <xdr:row>13</xdr:row>
                    <xdr:rowOff>9525</xdr:rowOff>
                  </from>
                  <to>
                    <xdr:col>0</xdr:col>
                    <xdr:colOff>2085975</xdr:colOff>
                    <xdr:row>13</xdr:row>
                    <xdr:rowOff>161925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SWAP Data Volumns</vt:lpstr>
      <vt:lpstr>2025_pb</vt:lpstr>
      <vt:lpstr>2025_pb_2</vt:lpstr>
      <vt:lpstr>btc_mods</vt:lpstr>
      <vt:lpstr>pep_ssf</vt:lpstr>
      <vt:lpstr>sclk_data</vt:lpstr>
      <vt:lpstr>_tl_template</vt:lpstr>
      <vt:lpstr>dev</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2026-08-15T01:49:51Z</dcterms:modified>
  <dc:language>en-US</dc:language>
</cp:coreProperties>
</file>